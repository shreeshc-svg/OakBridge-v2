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heet1" sheetId="1" state="visible" r:id="rId1"/>
  </sheets>
  <definedNames>
    <definedName name="_xlnm._FilterDatabase" localSheetId="0" hidden="1">'Sheet1'!$A$1:$AF$252</definedName>
  </definedNames>
  <calcPr calcId="191029" fullCalcOnLoad="1"/>
</workbook>
</file>

<file path=xl/styles.xml><?xml version="1.0" encoding="utf-8"?>
<styleSheet xmlns="http://schemas.openxmlformats.org/spreadsheetml/2006/main">
  <numFmts count="1">
    <numFmt numFmtId="164" formatCode="yyyy-mm-dd h:mm:ss"/>
  </numFmts>
  <fonts count="21">
    <font>
      <name val="Calibri"/>
      <family val="2"/>
      <color theme="1"/>
      <sz val="11"/>
      <scheme val="minor"/>
    </font>
    <font>
      <name val="Calibri"/>
      <family val="2"/>
      <b val="1"/>
      <color theme="1"/>
      <sz val="11"/>
      <scheme val="minor"/>
    </font>
    <font>
      <name val="Calibri"/>
      <family val="2"/>
      <color theme="1"/>
      <sz val="9"/>
      <scheme val="minor"/>
    </font>
    <font>
      <name val="Calibri"/>
      <family val="2"/>
      <color theme="1"/>
      <sz val="10"/>
      <scheme val="minor"/>
    </font>
    <font>
      <name val="Calibri"/>
      <family val="2"/>
      <sz val="10"/>
      <scheme val="minor"/>
    </font>
    <font>
      <name val="Calibri"/>
      <family val="2"/>
      <b val="1"/>
      <color theme="1"/>
      <sz val="10"/>
      <scheme val="minor"/>
    </font>
    <font>
      <name val="Calibri"/>
      <family val="2"/>
      <i val="1"/>
      <sz val="10"/>
      <scheme val="minor"/>
    </font>
    <font>
      <name val="Calibri"/>
      <family val="2"/>
      <i val="1"/>
      <sz val="10"/>
    </font>
    <font>
      <name val="Calibri"/>
      <family val="2"/>
      <sz val="8"/>
      <scheme val="minor"/>
    </font>
    <font>
      <name val="Calibri Light"/>
      <family val="2"/>
      <color rgb="FF000000"/>
      <sz val="10"/>
      <scheme val="major"/>
    </font>
    <font>
      <name val="Calibri Light"/>
      <family val="2"/>
      <i val="1"/>
      <color rgb="FF000000"/>
      <sz val="10"/>
      <scheme val="major"/>
    </font>
    <font>
      <name val="Arial"/>
      <family val="2"/>
      <color theme="1"/>
      <sz val="10"/>
    </font>
    <font>
      <name val="Arial"/>
      <family val="2"/>
      <color theme="1"/>
      <sz val="10"/>
      <vertAlign val="superscript"/>
    </font>
    <font>
      <name val="Calibri"/>
      <family val="2"/>
      <color rgb="FF000000"/>
      <sz val="10"/>
      <scheme val="minor"/>
    </font>
    <font>
      <name val="Calibri"/>
      <family val="2"/>
      <i val="1"/>
      <color rgb="FF000000"/>
      <sz val="10"/>
      <scheme val="minor"/>
    </font>
    <font>
      <name val="Calibri"/>
      <family val="2"/>
      <i val="1"/>
      <color theme="1"/>
      <sz val="10"/>
      <scheme val="minor"/>
    </font>
    <font>
      <name val="Calibri"/>
      <family val="2"/>
      <color rgb="FF696969"/>
      <sz val="10"/>
      <scheme val="minor"/>
    </font>
    <font>
      <name val="Times New Roman"/>
      <family val="1"/>
      <color theme="1"/>
      <sz val="11"/>
    </font>
    <font>
      <name val="Aptos"/>
      <family val="2"/>
      <color theme="1"/>
      <sz val="11"/>
    </font>
    <font>
      <name val="Times New Roman"/>
      <family val="1"/>
      <b val="1"/>
      <color theme="1"/>
      <sz val="11"/>
    </font>
    <font>
      <name val="Calibri"/>
      <family val="2"/>
      <b val="1"/>
      <color theme="1"/>
      <sz val="9"/>
      <scheme val="minor"/>
    </font>
  </fonts>
  <fills count="5">
    <fill>
      <patternFill/>
    </fill>
    <fill>
      <patternFill patternType="gray125"/>
    </fill>
    <fill>
      <patternFill patternType="solid">
        <fgColor theme="5" tint="0.7999816888943144"/>
        <bgColor indexed="64"/>
      </patternFill>
    </fill>
    <fill>
      <patternFill patternType="solid">
        <fgColor rgb="FFFF000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4">
    <xf numFmtId="0" fontId="0" fillId="0" borderId="0" pivotButton="0" quotePrefix="0" xfId="0"/>
    <xf numFmtId="0" fontId="2" fillId="0" borderId="0" applyAlignment="1" pivotButton="0" quotePrefix="0" xfId="0">
      <alignment horizontal="left"/>
    </xf>
    <xf numFmtId="0" fontId="1" fillId="2" borderId="1" applyAlignment="1" pivotButton="0" quotePrefix="0" xfId="0">
      <alignment horizontal="left" vertical="center"/>
    </xf>
    <xf numFmtId="1" fontId="2" fillId="0" borderId="0" applyAlignment="1" pivotButton="0" quotePrefix="0" xfId="0">
      <alignment horizontal="left"/>
    </xf>
    <xf numFmtId="0" fontId="4" fillId="0" borderId="1" applyAlignment="1" pivotButton="0" quotePrefix="0" xfId="0">
      <alignment horizontal="left"/>
    </xf>
    <xf numFmtId="1" fontId="4" fillId="0" borderId="1" applyAlignment="1" pivotButton="0" quotePrefix="0" xfId="0">
      <alignment horizontal="left"/>
    </xf>
    <xf numFmtId="0" fontId="3" fillId="0" borderId="1" applyAlignment="1" pivotButton="0" quotePrefix="0" xfId="0">
      <alignment horizontal="left"/>
    </xf>
    <xf numFmtId="0" fontId="3" fillId="0" borderId="1" applyAlignment="1" pivotButton="0" quotePrefix="0" xfId="0">
      <alignment horizontal="left" wrapText="1"/>
    </xf>
    <xf numFmtId="0" fontId="4" fillId="0" borderId="1" applyAlignment="1" pivotButton="0" quotePrefix="0" xfId="0">
      <alignment horizontal="left" wrapText="1"/>
    </xf>
    <xf numFmtId="0" fontId="2" fillId="0" borderId="1" applyAlignment="1" pivotButton="0" quotePrefix="0" xfId="0">
      <alignment horizontal="left"/>
    </xf>
    <xf numFmtId="1" fontId="3" fillId="0" borderId="1" applyAlignment="1" pivotButton="0" quotePrefix="0" xfId="0">
      <alignment horizontal="left"/>
    </xf>
    <xf numFmtId="0" fontId="3" fillId="0" borderId="1" applyAlignment="1" pivotButton="0" quotePrefix="0" xfId="0">
      <alignment horizontal="left" vertical="center"/>
    </xf>
    <xf numFmtId="14" fontId="3" fillId="0" borderId="1" applyAlignment="1" pivotButton="0" quotePrefix="0" xfId="0">
      <alignment horizontal="left"/>
    </xf>
    <xf numFmtId="0" fontId="16" fillId="0" borderId="1" applyAlignment="1" pivotButton="0" quotePrefix="0" xfId="0">
      <alignment horizontal="left"/>
    </xf>
    <xf numFmtId="0" fontId="13" fillId="0" borderId="1" applyAlignment="1" pivotButton="0" quotePrefix="0" xfId="0">
      <alignment horizontal="left"/>
    </xf>
    <xf numFmtId="17" fontId="3" fillId="0" borderId="1" applyAlignment="1" pivotButton="0" quotePrefix="0" xfId="0">
      <alignment horizontal="left"/>
    </xf>
    <xf numFmtId="1" fontId="1" fillId="2" borderId="1" applyAlignment="1" pivotButton="0" quotePrefix="0" xfId="0">
      <alignment horizontal="left" vertical="center"/>
    </xf>
    <xf numFmtId="0" fontId="5" fillId="2" borderId="1" applyAlignment="1" pivotButton="0" quotePrefix="0" xfId="0">
      <alignment horizontal="left" vertical="center"/>
    </xf>
    <xf numFmtId="0" fontId="1" fillId="2" borderId="2" applyAlignment="1" pivotButton="0" quotePrefix="0" xfId="0">
      <alignment horizontal="left" vertical="center"/>
    </xf>
    <xf numFmtId="0" fontId="2" fillId="0" borderId="0" applyAlignment="1" pivotButton="0" quotePrefix="0" xfId="0">
      <alignment horizontal="left" vertical="center"/>
    </xf>
    <xf numFmtId="17" fontId="4" fillId="0" borderId="1" applyAlignment="1" pivotButton="0" quotePrefix="0" xfId="0">
      <alignment horizontal="left"/>
    </xf>
    <xf numFmtId="14" fontId="4" fillId="0" borderId="1" applyAlignment="1" pivotButton="0" quotePrefix="0" xfId="0">
      <alignment horizontal="left"/>
    </xf>
    <xf numFmtId="0" fontId="9" fillId="0" borderId="1" applyAlignment="1" pivotButton="0" quotePrefix="0" xfId="0">
      <alignment horizontal="left"/>
    </xf>
    <xf numFmtId="0" fontId="11" fillId="0" borderId="1" applyAlignment="1" pivotButton="0" quotePrefix="0" xfId="0">
      <alignment horizontal="left"/>
    </xf>
    <xf numFmtId="0" fontId="0" fillId="0" borderId="1" applyAlignment="1" pivotButton="0" quotePrefix="0" xfId="0">
      <alignment horizontal="left"/>
    </xf>
    <xf numFmtId="14" fontId="0" fillId="0" borderId="1" applyAlignment="1" pivotButton="0" quotePrefix="0" xfId="0">
      <alignment horizontal="left"/>
    </xf>
    <xf numFmtId="0" fontId="13" fillId="0" borderId="1" applyAlignment="1" pivotButton="0" quotePrefix="0" xfId="0">
      <alignment horizontal="left" vertical="center"/>
    </xf>
    <xf numFmtId="0" fontId="14" fillId="0" borderId="1" applyAlignment="1" pivotButton="0" quotePrefix="0" xfId="0">
      <alignment horizontal="left"/>
    </xf>
    <xf numFmtId="0" fontId="9" fillId="0" borderId="1" applyAlignment="1" pivotButton="0" quotePrefix="0" xfId="0">
      <alignment horizontal="left" vertical="center" wrapText="1"/>
    </xf>
    <xf numFmtId="1" fontId="13" fillId="0" borderId="1" applyAlignment="1" pivotButton="0" quotePrefix="0" xfId="0">
      <alignment horizontal="left"/>
    </xf>
    <xf numFmtId="0" fontId="13" fillId="0" borderId="1" applyAlignment="1" pivotButton="0" quotePrefix="0" xfId="0">
      <alignment horizontal="left" vertical="center" wrapText="1"/>
    </xf>
    <xf numFmtId="0" fontId="3" fillId="3" borderId="1" applyAlignment="1" pivotButton="0" quotePrefix="0" xfId="0">
      <alignment horizontal="left"/>
    </xf>
    <xf numFmtId="0" fontId="4" fillId="3" borderId="1" applyAlignment="1" pivotButton="0" quotePrefix="0" xfId="0">
      <alignment horizontal="left"/>
    </xf>
    <xf numFmtId="1" fontId="3" fillId="3" borderId="1" applyAlignment="1" pivotButton="0" quotePrefix="0" xfId="0">
      <alignment horizontal="left"/>
    </xf>
    <xf numFmtId="1" fontId="4" fillId="3" borderId="1" applyAlignment="1" pivotButton="0" quotePrefix="0" xfId="0">
      <alignment horizontal="left"/>
    </xf>
    <xf numFmtId="17" fontId="4" fillId="3" borderId="1" applyAlignment="1" pivotButton="0" quotePrefix="0" xfId="0">
      <alignment horizontal="left"/>
    </xf>
    <xf numFmtId="0" fontId="2" fillId="3" borderId="0" applyAlignment="1" pivotButton="0" quotePrefix="0" xfId="0">
      <alignment horizontal="left"/>
    </xf>
    <xf numFmtId="0" fontId="3" fillId="0" borderId="1" applyAlignment="1" pivotButton="0" quotePrefix="0" xfId="0">
      <alignment horizontal="left" vertical="center" wrapText="1"/>
    </xf>
    <xf numFmtId="0" fontId="0" fillId="0" borderId="0" applyAlignment="1" pivotButton="0" quotePrefix="0" xfId="0">
      <alignment horizontal="justify" vertical="center" wrapText="1"/>
    </xf>
    <xf numFmtId="0" fontId="1" fillId="0" borderId="0" applyAlignment="1" pivotButton="0" quotePrefix="0" xfId="0">
      <alignment wrapText="1"/>
    </xf>
    <xf numFmtId="0" fontId="0" fillId="0" borderId="0" applyAlignment="1" pivotButton="0" quotePrefix="0" xfId="0">
      <alignment wrapText="1"/>
    </xf>
    <xf numFmtId="0" fontId="1" fillId="0" borderId="0" applyAlignment="1" pivotButton="0" quotePrefix="0" xfId="0">
      <alignment horizontal="justify" vertical="center" wrapText="1"/>
    </xf>
    <xf numFmtId="0" fontId="17" fillId="0" borderId="0" applyAlignment="1" pivotButton="0" quotePrefix="0" xfId="0">
      <alignment wrapText="1"/>
    </xf>
    <xf numFmtId="0" fontId="1" fillId="4" borderId="1" applyAlignment="1" pivotButton="0" quotePrefix="0" xfId="0">
      <alignment horizontal="left" vertical="center"/>
    </xf>
    <xf numFmtId="0" fontId="4" fillId="4" borderId="1" applyAlignment="1" pivotButton="0" quotePrefix="0" xfId="0">
      <alignment horizontal="left"/>
    </xf>
    <xf numFmtId="0" fontId="3" fillId="4" borderId="1" applyAlignment="1" pivotButton="0" quotePrefix="0" xfId="0">
      <alignment horizontal="left"/>
    </xf>
    <xf numFmtId="0" fontId="0" fillId="4" borderId="1" applyAlignment="1" pivotButton="0" quotePrefix="0" xfId="0">
      <alignment horizontal="left"/>
    </xf>
    <xf numFmtId="0" fontId="2" fillId="4" borderId="0" applyAlignment="1" pivotButton="0" quotePrefix="0" xfId="0">
      <alignment horizontal="left"/>
    </xf>
    <xf numFmtId="1" fontId="2" fillId="0" borderId="1" applyAlignment="1" pivotButton="0" quotePrefix="0" xfId="0">
      <alignment horizontal="left"/>
    </xf>
    <xf numFmtId="17" fontId="2" fillId="0" borderId="1" applyAlignment="1" pivotButton="0" quotePrefix="0" xfId="0">
      <alignment horizontal="left"/>
    </xf>
    <xf numFmtId="0" fontId="2" fillId="4" borderId="1" applyAlignment="1" pivotButton="0" quotePrefix="0" xfId="0">
      <alignment horizontal="left"/>
    </xf>
    <xf numFmtId="0" fontId="3" fillId="0" borderId="3" applyAlignment="1" pivotButton="0" quotePrefix="0" xfId="0">
      <alignment horizontal="left"/>
    </xf>
    <xf numFmtId="1" fontId="3" fillId="0" borderId="3" applyAlignment="1" pivotButton="0" quotePrefix="0" xfId="0">
      <alignment horizontal="left"/>
    </xf>
    <xf numFmtId="0" fontId="16" fillId="0" borderId="3" applyAlignment="1" pivotButton="0" quotePrefix="0" xfId="0">
      <alignment horizontal="left"/>
    </xf>
    <xf numFmtId="0" fontId="13" fillId="0" borderId="3" applyAlignment="1" pivotButton="0" quotePrefix="0" xfId="0">
      <alignment horizontal="left"/>
    </xf>
    <xf numFmtId="17" fontId="3" fillId="0" borderId="3" applyAlignment="1" pivotButton="0" quotePrefix="0" xfId="0">
      <alignment horizontal="left"/>
    </xf>
    <xf numFmtId="0" fontId="3" fillId="4" borderId="3" applyAlignment="1" pivotButton="0" quotePrefix="0" xfId="0">
      <alignment horizontal="left"/>
    </xf>
    <xf numFmtId="0" fontId="18" fillId="0" borderId="1" applyAlignment="1" pivotButton="0" quotePrefix="0" xfId="0">
      <alignment wrapText="1"/>
    </xf>
    <xf numFmtId="0" fontId="19" fillId="0" borderId="1" applyAlignment="1" pivotButton="0" quotePrefix="0" xfId="0">
      <alignment wrapText="1"/>
    </xf>
    <xf numFmtId="0" fontId="2" fillId="0" borderId="1" applyAlignment="1" pivotButton="0" quotePrefix="0" xfId="0">
      <alignment horizontal="left" wrapText="1"/>
    </xf>
    <xf numFmtId="0" fontId="19" fillId="0" borderId="1" applyAlignment="1" pivotButton="0" quotePrefix="0" xfId="0">
      <alignment horizontal="justify" vertical="center"/>
    </xf>
    <xf numFmtId="0" fontId="20" fillId="0" borderId="1" applyAlignment="1" pivotButton="0" quotePrefix="0" xfId="0">
      <alignment horizontal="left"/>
    </xf>
    <xf numFmtId="0" fontId="20" fillId="0" borderId="1" applyAlignment="1" pivotButton="0" quotePrefix="0" xfId="0">
      <alignment horizontal="left" wrapText="1"/>
    </xf>
    <xf numFmtId="164" fontId="2" fillId="0" borderId="1"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F255"/>
  <sheetViews>
    <sheetView tabSelected="1" zoomScaleNormal="100" workbookViewId="0">
      <pane ySplit="1" topLeftCell="A246" activePane="bottomLeft" state="frozen"/>
      <selection activeCell="C1" sqref="C1"/>
      <selection pane="bottomLeft" activeCell="G250" sqref="G250"/>
    </sheetView>
  </sheetViews>
  <sheetFormatPr baseColWidth="8" defaultColWidth="9.140625" defaultRowHeight="20.1" customHeight="1"/>
  <cols>
    <col width="10.140625" customWidth="1" style="1" min="1" max="1"/>
    <col width="12.140625" customWidth="1" style="1" min="2" max="3"/>
    <col width="16.42578125" customWidth="1" style="3" min="4" max="4"/>
    <col hidden="1" width="16" customWidth="1" style="1" min="5" max="5"/>
    <col width="19.42578125" customWidth="1" style="1" min="6" max="6"/>
    <col width="33.5703125" customWidth="1" style="1" min="7" max="7"/>
    <col width="25.85546875" customWidth="1" style="1" min="8" max="8"/>
    <col width="20.85546875" customWidth="1" style="1" min="9" max="9"/>
    <col width="7.5703125" customWidth="1" style="1" min="10" max="10"/>
    <col width="10.42578125" customWidth="1" style="1" min="11" max="11"/>
    <col width="12.28515625" customWidth="1" style="1" min="12" max="12"/>
    <col width="20.85546875" customWidth="1" style="1" min="13" max="13"/>
    <col width="20.7109375" customWidth="1" style="1" min="14" max="14"/>
    <col width="10.7109375" customWidth="1" style="1" min="15" max="15"/>
    <col width="15" customWidth="1" style="47" min="16" max="16"/>
    <col width="11.85546875" customWidth="1" style="1" min="17" max="17"/>
    <col width="11.42578125" customWidth="1" style="1" min="18" max="18"/>
    <col width="11.7109375" customWidth="1" style="1" min="19" max="19"/>
    <col width="12.5703125" customWidth="1" style="1" min="20" max="20"/>
    <col width="9.140625" customWidth="1" style="1" min="21" max="16384"/>
  </cols>
  <sheetData>
    <row r="1" ht="24.75" customFormat="1" customHeight="1" s="19">
      <c r="A1" s="2" t="inlineStr">
        <is>
          <t>S. No</t>
        </is>
      </c>
      <c r="B1" s="2" t="inlineStr">
        <is>
          <t>Subject</t>
        </is>
      </c>
      <c r="C1" s="2" t="inlineStr">
        <is>
          <t>Imprint</t>
        </is>
      </c>
      <c r="D1" s="16" t="inlineStr">
        <is>
          <t>ISBN</t>
        </is>
      </c>
      <c r="E1" s="2" t="inlineStr">
        <is>
          <t>ASIN</t>
        </is>
      </c>
      <c r="F1" s="2" t="inlineStr">
        <is>
          <t>Author Name</t>
        </is>
      </c>
      <c r="G1" s="2" t="inlineStr">
        <is>
          <t>Title</t>
        </is>
      </c>
      <c r="H1" s="17" t="inlineStr">
        <is>
          <t>Description</t>
        </is>
      </c>
      <c r="I1" s="17" t="inlineStr">
        <is>
          <t>About the Author</t>
        </is>
      </c>
      <c r="J1" s="2" t="inlineStr">
        <is>
          <t>Edition</t>
        </is>
      </c>
      <c r="K1" s="2" t="inlineStr">
        <is>
          <t>Language</t>
        </is>
      </c>
      <c r="L1" s="2" t="inlineStr">
        <is>
          <t>Binding</t>
        </is>
      </c>
      <c r="M1" s="2" t="inlineStr">
        <is>
          <t>Country of Origin</t>
        </is>
      </c>
      <c r="N1" s="2" t="inlineStr">
        <is>
          <t xml:space="preserve">Publication Date </t>
        </is>
      </c>
      <c r="O1" s="2" t="inlineStr">
        <is>
          <t>Pages</t>
        </is>
      </c>
      <c r="P1" s="43" t="inlineStr">
        <is>
          <t>Price (INR)</t>
        </is>
      </c>
      <c r="Q1" s="2" t="inlineStr">
        <is>
          <t xml:space="preserve">Length (cm) </t>
        </is>
      </c>
      <c r="R1" s="18" t="inlineStr">
        <is>
          <t xml:space="preserve">Width (cm) </t>
        </is>
      </c>
      <c r="S1" s="2" t="inlineStr">
        <is>
          <t xml:space="preserve">Height (cm) </t>
        </is>
      </c>
      <c r="T1" s="2" t="inlineStr">
        <is>
          <t>Weight (Gm)</t>
        </is>
      </c>
      <c r="W1" s="1" t="n"/>
      <c r="X1" s="1" t="n"/>
      <c r="Y1" s="1" t="n"/>
      <c r="Z1" s="1" t="n"/>
      <c r="AA1" s="1" t="n"/>
      <c r="AB1" s="1" t="n"/>
      <c r="AC1" s="1" t="n"/>
      <c r="AD1" s="1" t="n"/>
      <c r="AE1" s="1" t="n"/>
      <c r="AF1" s="1" t="n"/>
    </row>
    <row r="2" ht="20.1" customHeight="1">
      <c r="A2" s="6" t="n">
        <v>1</v>
      </c>
      <c r="B2" s="4" t="inlineStr">
        <is>
          <t>Academic</t>
        </is>
      </c>
      <c r="C2" s="4" t="inlineStr">
        <is>
          <t>Edge</t>
        </is>
      </c>
      <c r="D2" s="10" t="n">
        <v>9788193473450</v>
      </c>
      <c r="E2" s="10" t="n">
        <v>8193473450</v>
      </c>
      <c r="F2" s="5" t="inlineStr">
        <is>
          <t>Lohit Matani &amp; Vishal</t>
        </is>
      </c>
      <c r="G2" s="4" t="inlineStr">
        <is>
          <t>An Introduction to Civil Services</t>
        </is>
      </c>
      <c r="H2" s="6" t="inlineStr">
        <is>
          <t>An Introduction to Civil Services is an attempt to provide an overview of the Civil Services Examination and work profile of 23 All India Services and Central Civil Services. This book is useful for Civil Services Examination. It will also help candidates in choosing their service preferences. The book will provide a basic understanding of the scheme and pattern of the Civil Services Examination. It will strengthen the aspirant’s conceptual understanding of All India Services and Central Civil Services, which, besides aiding them in filling service preference, will also help those appearing in CSE with Public Administration as an optional subject. In tune with the pattern of the question asked in the General Studies Paper IV, the book provides real life ethics case studies related to different services.Key features: * Features Scheme and Pattern of the Civil Services Examination * Explains roles, responsibilities, deputation, advantages, and disadvantages of 23 All India and Central Services * Provides a comparative analysis of 23 All India and Central Civil Services * 100 Real life ethical dilemmas and case studies related to various All India and Central Civil Services * Guidelines for making service preference * Unique blend of the knowledge of 23 serving bureaucratsLohit Matani is an Indian Police Service (IPS) officer of the 2014 batch serving in Maharashtra Cadre. He has completed his BTech and MTech in Material Science and Technology from the Indian Institute of Technology (IIT), Banaras Hindu University (BHU), Varanasi. Lohit loves interacting with the young aspirants preparing for the civil services examination through his articles, blogs and books. Vishal is an Indian Police Service (IPS) officer of the 2014 batch serving in Nagaland Cadre. He has completed his BTech and MTech in Industrial Engineering from IIT Kharagpur. He has a wide experience in the social sector and has worked with reputed organizations.</t>
        </is>
      </c>
      <c r="I2" s="6" t="inlineStr">
        <is>
          <t>Lohit Matani is an Indian Police Service (IPS) officer of the 2014 batch posted in Maharashtra cadre. He holds B Tech and M Tech degrees in Material Science and Technology from the Indian Institute of Technology (IIT), Banaras Hindu University (BHU), Varanasi. Lohit loves interacting with young students and candidates preparing.</t>
        </is>
      </c>
      <c r="J2" s="4" t="n">
        <v>1</v>
      </c>
      <c r="K2" s="4" t="inlineStr">
        <is>
          <t>English</t>
        </is>
      </c>
      <c r="L2" s="4" t="inlineStr">
        <is>
          <t>PB</t>
        </is>
      </c>
      <c r="M2" s="6" t="inlineStr">
        <is>
          <t>India</t>
        </is>
      </c>
      <c r="N2" s="20" t="n">
        <v>43132</v>
      </c>
      <c r="O2" s="4">
        <f>38+261</f>
        <v/>
      </c>
      <c r="P2" s="44" t="n">
        <v>295</v>
      </c>
      <c r="Q2" s="6" t="n">
        <v>24</v>
      </c>
      <c r="R2" s="6" t="n">
        <v>18.5</v>
      </c>
      <c r="S2" s="6" t="n">
        <v>2.5</v>
      </c>
      <c r="T2" s="6" t="n">
        <v>300</v>
      </c>
    </row>
    <row r="3" ht="20.1" customHeight="1">
      <c r="A3" s="6" t="n">
        <v>2</v>
      </c>
      <c r="B3" s="4" t="inlineStr">
        <is>
          <t>Tax</t>
        </is>
      </c>
      <c r="C3" s="4" t="inlineStr">
        <is>
          <t>OakBridge</t>
        </is>
      </c>
      <c r="D3" s="10" t="n">
        <v>9788193746868</v>
      </c>
      <c r="E3" s="10" t="n">
        <v>8193746864</v>
      </c>
      <c r="F3" s="5" t="inlineStr">
        <is>
          <t>H Padamchand Khincha &amp; K K Chythanya</t>
        </is>
      </c>
      <c r="G3" s="4" t="inlineStr">
        <is>
          <t>Decoding Section 5</t>
        </is>
      </c>
      <c r="H3" s="6" t="inlineStr">
        <is>
          <t>Decoding Section 5 by H Padamchand Khincha and K K Chythanya provides an in-depth analysis on Section 5 of Income tax Act, 1961, and discusses its interplay with other provisions of the Act. Largely untouched by legislative amendments, the authors of the book have attempted to peel through years of judicial exposition on the provision and adopt a fresh and unfettered approach. The authors dig deep with their research, to analyze many terms used in the legislation, which are sometimes used inter-changeably or which are bandied about without full appreciation. The difference between Receipt and Accrual of Income has long been a bone of contention between the tax collector and tax payer. The true import and wider ramifications of “receipt”, “accrual” and “deemed accrual” are succinctly explained, as also the genesis of Double Taxation Avoidance Laws. The celebrated decision of the Apex court in Vodafone case, which also exposits concepts of accrual and deemed accrual have been explained in a manner which would be appreciated both by tax practitioners as well as a layman. The book would be an asset in any library and it is recommended in classrooms too for a better understanding of Section 5 of the Income Tax Act, 1961, which are the pillars of the Act. Excerpt from Foreword: "After reading this book, I realized how essential it was for every tax practitioner to periodically go back to the basics and revisit the fundamentals of tax law. Padamchand and Chythanya have literally brought sections 4 and 5 to life. It is necessary that every person dealing with the Act has a copy of this book. It should not only adorn one’s bookshelf, but all of us must also make it a point to read it periodically" ~ Arvind P Datar, Senior AdvocateH Padamchand Khincha, a partner in H C Khincha &amp; Co, Bangalore has over 30 years of experience in corporate and international tax areas.K K Chythanya has over 28 years of experience in taxation matters.</t>
        </is>
      </c>
      <c r="I3" s="6" t="inlineStr">
        <is>
          <t>H Padamchand Khincha, a partner in H C Khincha &amp; Co, Bangalore has over 30 years of experience in corporate and international tax areas. K K Chythanya has over 28 years of experience in taxation matters.</t>
        </is>
      </c>
      <c r="J3" s="4" t="n">
        <v>1</v>
      </c>
      <c r="K3" s="4" t="inlineStr">
        <is>
          <t>English</t>
        </is>
      </c>
      <c r="L3" s="4" t="inlineStr">
        <is>
          <t>HB</t>
        </is>
      </c>
      <c r="M3" s="6" t="inlineStr">
        <is>
          <t>India</t>
        </is>
      </c>
      <c r="N3" s="20" t="n">
        <v>43313</v>
      </c>
      <c r="O3" s="4">
        <f>214+24</f>
        <v/>
      </c>
      <c r="P3" s="44" t="n">
        <v>650</v>
      </c>
      <c r="Q3" s="6" t="n">
        <v>24</v>
      </c>
      <c r="R3" s="6" t="n">
        <v>16</v>
      </c>
      <c r="S3" s="6" t="n">
        <v>2.5</v>
      </c>
      <c r="T3" s="6" t="n">
        <v>1000</v>
      </c>
    </row>
    <row r="4" ht="20.1" customHeight="1">
      <c r="A4" s="6" t="n">
        <v>3</v>
      </c>
      <c r="B4" s="4" t="inlineStr">
        <is>
          <t>Law</t>
        </is>
      </c>
      <c r="C4" s="4" t="inlineStr">
        <is>
          <t>OakBridge</t>
        </is>
      </c>
      <c r="D4" s="10" t="n">
        <v>9788193746875</v>
      </c>
      <c r="E4" s="10" t="n">
        <v>8193746872</v>
      </c>
      <c r="F4" s="5" t="inlineStr">
        <is>
          <t>Asheeta Regidi</t>
        </is>
      </c>
      <c r="G4" s="4" t="inlineStr">
        <is>
          <t>Software Protection</t>
        </is>
      </c>
      <c r="H4" s="6" t="inlineStr">
        <is>
          <t>Thematic commentary on the areas of software copyright, software patent and software licensing laws. * Discusses the various forms of legal and contractual protection available against software rights infringement. * Examines the influence of international laws on the evolving jurisprudence in India. * Analyses relevant Indian and International Case Law. * Explains the concepts of free and open licensing, copyleft. enforceability of e-contracts including shrink-wrap and browse-wrap agreements. * Examines relative provisions of Information Technology Act, 2000; Indian Copyright Act, 1957; Patents Act, 1970; and India Contract Act, 1872. Asheeta is a consultant specializing in Indian and international technology, privacy and cyber laws. She is a Certified Information Privacy Professional (CIPP/E, CIPP/A), and a Member of the International Association of Privacy Professionals. She provides consultation to clients, law firms and companies on matters relating to intellectual property rights in relation to software, software licensing, as well as free and open source licensing. Asheeta regularly contributes articles in her fields of specialization that have been published in the media. Asheeta read law at Government Law College, Mumbai (BLS, LLB), and is a Member of the Bar Council of Maharashtra and Goa. She also holds qualifications in cyber laws and cyber-crime investigation from the Asian School of Cyber Laws.</t>
        </is>
      </c>
      <c r="I4" s="6" t="inlineStr">
        <is>
          <t>Asheeta regularly contributes articles in her fields of specialization that have been published in the media. Asheeta read law at Government Law College, Mumbai (BLS, LLB), and is a Member of the Bar Council of Maharashtra and Goa. She also holds qualifications in cyber laws and cyber-crime investigation from the Asian School of Cyber Laws.</t>
        </is>
      </c>
      <c r="J4" s="4" t="n">
        <v>1</v>
      </c>
      <c r="K4" s="4" t="inlineStr">
        <is>
          <t>English</t>
        </is>
      </c>
      <c r="L4" s="4" t="inlineStr">
        <is>
          <t>PB</t>
        </is>
      </c>
      <c r="M4" s="6" t="inlineStr">
        <is>
          <t>India</t>
        </is>
      </c>
      <c r="N4" s="20" t="n">
        <v>43344</v>
      </c>
      <c r="O4" s="4">
        <f>34+288</f>
        <v/>
      </c>
      <c r="P4" s="44" t="n">
        <v>695</v>
      </c>
      <c r="Q4" s="6" t="n">
        <v>24</v>
      </c>
      <c r="R4" s="6" t="n">
        <v>16</v>
      </c>
      <c r="S4" s="6" t="n">
        <v>2.5</v>
      </c>
      <c r="T4" s="6" t="n">
        <v>500</v>
      </c>
    </row>
    <row r="5" ht="20.1" customFormat="1" customHeight="1" s="36">
      <c r="A5" s="31" t="n">
        <v>4</v>
      </c>
      <c r="B5" s="32" t="inlineStr">
        <is>
          <t>Academic</t>
        </is>
      </c>
      <c r="C5" s="32" t="inlineStr">
        <is>
          <t>Edge</t>
        </is>
      </c>
      <c r="D5" s="33" t="n">
        <v>9788193917114</v>
      </c>
      <c r="E5" s="33" t="n">
        <v>8193917111</v>
      </c>
      <c r="F5" s="34" t="inlineStr">
        <is>
          <t>Surendra Raut</t>
        </is>
      </c>
      <c r="G5" s="32" t="inlineStr">
        <is>
          <t>Bihar At a Glance</t>
        </is>
      </c>
      <c r="H5" s="31" t="inlineStr">
        <is>
          <t>Bihar – At a Glance is a comprehensive reference for those appearing in BPSC Combined Competitive Examination. It will also be useful for the other examinations conducted by Bihar Public Service commission (BPSC) and Bihar Staff Selection Commission (BSSC). The book attempts to deal with the various cultural, historical, economical and geographical aspects of the state of Bihar. Starting from the overview of the Bihar, the book comprises general facts and figures related to Bihar. For keeping the students up to date, a chapter has been devoted on the current developments in the state of Bihar. Written in a simple and lucid language, the book will serve as a ready reference material for the students. Key features: * Features historical, geographical, economical and cultural aspects of Bihar * Insights on demography, tourism, infrastructure and administration of Bihar * Special coverage on the programme and policies of the government of Bihar * Updated with latest economic and socio-economic data ---&gt; 60 practice questions for quick assessmentSurendra Raut is the well known faculty of Maithili and General Knowledge. He has been guiding the students for past 10 years in the domain of Civil Services and Bihar State Services Examination. Under his guidance, many students have achieved success by cracking various examinations</t>
        </is>
      </c>
      <c r="I5" s="31" t="inlineStr">
        <is>
          <t>Surendra Raut is the well known faculty of Maithili and General Knowledge. He has been guiding the students for past 10 years in the domain of Civil Services and Bihar State Services Examination. Under his guidance, many students have achieved success by cracking various examinations.</t>
        </is>
      </c>
      <c r="J5" s="32" t="n">
        <v>1</v>
      </c>
      <c r="K5" s="32" t="inlineStr">
        <is>
          <t>English</t>
        </is>
      </c>
      <c r="L5" s="32" t="inlineStr">
        <is>
          <t>PB</t>
        </is>
      </c>
      <c r="M5" s="31" t="inlineStr">
        <is>
          <t>India</t>
        </is>
      </c>
      <c r="N5" s="35" t="n">
        <v>43374</v>
      </c>
      <c r="O5" s="32">
        <f>247+12</f>
        <v/>
      </c>
      <c r="P5" s="44" t="n">
        <v>275</v>
      </c>
      <c r="Q5" s="31" t="n">
        <v>24</v>
      </c>
      <c r="R5" s="31" t="n">
        <v>18.5</v>
      </c>
      <c r="S5" s="31" t="n">
        <v>2.5</v>
      </c>
      <c r="T5" s="31" t="n">
        <v>400</v>
      </c>
    </row>
    <row r="6" ht="20.1" customHeight="1">
      <c r="A6" s="6" t="n">
        <v>5</v>
      </c>
      <c r="B6" s="4" t="inlineStr">
        <is>
          <t>Tax</t>
        </is>
      </c>
      <c r="C6" s="4" t="inlineStr">
        <is>
          <t>OakBridge</t>
        </is>
      </c>
      <c r="D6" s="10" t="n">
        <v>9788193746899</v>
      </c>
      <c r="E6" s="10" t="n">
        <v>8193746899</v>
      </c>
      <c r="F6" s="5" t="inlineStr">
        <is>
          <t>Parthasarathi Shome</t>
        </is>
      </c>
      <c r="G6" s="4" t="inlineStr">
        <is>
          <t>Challenges in Domestic &amp; International Taxation</t>
        </is>
      </c>
      <c r="H6" s="6" t="inlineStr">
        <is>
          <t>Challenges in Domestic and International Taxation: Emerging Indian Experience contains a collection of rich investigations and associated policy recommendations by ITRAF researchers completed during the 2017-18 period who take up new topics that have appeared on the horizon of income taxation. Some of the key challenges that have been delved in detail in the volume through an analysis of the existing regime, the gaps therein, the new challenges in economy and recommendations on way forward are: (1)Principles of taxation to be ideally adhered in formulating tax policy and administration from the perspective of tax revenue trends, Corporate tax rate structure, Goods and Services tax in India (2)Charitable contributions, philanthropy and taxation in India analyzing the issues, global experience and concerns (3)Taxation of Digital Economy examining a wide range of policy issues and judicial developments in India (4)Tax treaties and Multilateral Instrument, impact on the role and relevance of double taxation avoidance agreements (DTAA’s) or tax treaties, and analysis of the minimum standards in the MLI (5)Cryptocurrency and bitcoin that are able to assume virtual existence while enabling international payments and broader arrangements raise questions relating to circumvention of existing regulation or taxation (6)International Exchange of Information and the ability of tax authorities to protect and ensure the rights of taxpayers Parthasarathi Shome is currently Chairman, ITRAF, Bengaluru, and Visiting Senior Fellow, London School of Economics. He was Adviser (Minister of State) to the Indian Finance Minister, and chaired India’s Tax Administration Reform Commission (TARC). He has held various positions, including Chief Economist, UK Revenue and Customs; Chief of Tax Policy, IMF; and Professor, American University, Washington DC. His work on GAAR and retrospective taxation is widely cited.</t>
        </is>
      </c>
      <c r="I6" s="6" t="inlineStr">
        <is>
          <t>Parthasarathi Shome is currently Chairman, ITRAF, Bengaluru, and Visiting Senior Fellow, London School of Economics. He was Adviser (Minister of State) to the Indian Finance Minister, and chaired India’s Tax Administration Reform Commission (TARC). He has held various positions, including Chief Economist, UK Revenue and Customs; Chief of Tax Policy, IMF; and Professor, American University, Washington DC. His work on GAAR and retrospective taxation is widely cited.</t>
        </is>
      </c>
      <c r="J6" s="4" t="n">
        <v>1</v>
      </c>
      <c r="K6" s="4" t="inlineStr">
        <is>
          <t>English</t>
        </is>
      </c>
      <c r="L6" s="4" t="inlineStr">
        <is>
          <t>HB(DJ)</t>
        </is>
      </c>
      <c r="M6" s="6" t="inlineStr">
        <is>
          <t>India</t>
        </is>
      </c>
      <c r="N6" s="20" t="n">
        <v>43374</v>
      </c>
      <c r="O6" s="4">
        <f>302+32</f>
        <v/>
      </c>
      <c r="P6" s="44" t="n">
        <v>1195</v>
      </c>
      <c r="Q6" s="6" t="n">
        <v>24</v>
      </c>
      <c r="R6" s="6" t="n">
        <v>16</v>
      </c>
      <c r="S6" s="6" t="n">
        <v>2.5</v>
      </c>
      <c r="T6" s="6" t="n">
        <v>700</v>
      </c>
    </row>
    <row r="7" ht="20.1" customHeight="1">
      <c r="A7" s="6" t="n">
        <v>6</v>
      </c>
      <c r="B7" s="4" t="inlineStr">
        <is>
          <t>Tax</t>
        </is>
      </c>
      <c r="C7" s="4" t="inlineStr">
        <is>
          <t>OakBridge</t>
        </is>
      </c>
      <c r="D7" s="10" t="n">
        <v>9788193746882</v>
      </c>
      <c r="E7" s="10" t="inlineStr">
        <is>
          <t>-</t>
        </is>
      </c>
      <c r="F7" s="5" t="inlineStr">
        <is>
          <t>Atul Kumar Gupta
Ajay Sharma
Swati Chutani</t>
        </is>
      </c>
      <c r="G7" s="4" t="inlineStr">
        <is>
          <t>UAE VAT</t>
        </is>
      </c>
      <c r="H7" s="6" t="inlineStr">
        <is>
          <t>UAE VAT: Law and Procedures provides a comprehensive analysis of the law governing Value Added Tax (VAT) in UAE and its implementation. Divided into two parts, Part I comprises of chapters which explain the provisions of law and compliances by the industry. Part II contains the legislation on VAT and Tax procedures, User Guide issued by the Federal Tax Authority (FTA), and Clarification issued by FTA. In line with the objectives of the GCC Economic Agreement of 2001, which seeks to reach advanced stages of economic integration, and develop similar legislation throughout the GCC, the GCC (Gulf Country Corporation) has introduced the Unified GCC VAT law to implement VAT in the Gulf Region. The UAE has introduced the VAT decree law No. 08 of the 2017 in the parliament and made it applicable from 1st January 2018 throughout the UAE. Immediately after the introduction of the Excise law in the UAE for specified goods only, the implementation of the VAT is a challenge for industry to comply with and to understand the legislative structure. Through this publication, the aim is to facilitate the industry in adopting the newly introduced law. The book will be a valuable addition to the tax practitioners and consultants in the UAE, judiciary, corporations and industries governed by VAT laws, and students of law and taxation.</t>
        </is>
      </c>
      <c r="I7" s="6" t="inlineStr">
        <is>
          <t>Atul Kumar Gupta is a fellow member of the Institute of Chartered Accountants of India and the Institute of Cost Accountants of India, besides being a Law Graduate. A member of various other professional bodies and Institutions, Mr Gupta is a thorough scholar and has qualified CA examination with All India Rank. He was a Central Council Member of ICAI from 2013-16 &amp; 2016-2019</t>
        </is>
      </c>
      <c r="J7" s="4" t="n">
        <v>1</v>
      </c>
      <c r="K7" s="4" t="inlineStr">
        <is>
          <t>English</t>
        </is>
      </c>
      <c r="L7" s="4" t="inlineStr">
        <is>
          <t>HB(DJ)</t>
        </is>
      </c>
      <c r="M7" s="6" t="inlineStr">
        <is>
          <t>India</t>
        </is>
      </c>
      <c r="N7" s="20" t="n">
        <v>43374</v>
      </c>
      <c r="O7" s="4">
        <f>536+34+162</f>
        <v/>
      </c>
      <c r="P7" s="44" t="n">
        <v>1250</v>
      </c>
      <c r="Q7" s="6" t="n">
        <v>24</v>
      </c>
      <c r="R7" s="6" t="n">
        <v>16</v>
      </c>
      <c r="S7" s="6" t="n">
        <v>2.5</v>
      </c>
      <c r="T7" s="6" t="n">
        <v>1000</v>
      </c>
    </row>
    <row r="8" ht="20.1" customHeight="1">
      <c r="A8" s="6" t="n">
        <v>7</v>
      </c>
      <c r="B8" s="4" t="inlineStr">
        <is>
          <t>Academic</t>
        </is>
      </c>
      <c r="C8" s="4" t="inlineStr">
        <is>
          <t>Edge</t>
        </is>
      </c>
      <c r="D8" s="10" t="n">
        <v>9788193917145</v>
      </c>
      <c r="E8" s="10" t="n">
        <v>8193917146</v>
      </c>
      <c r="F8" s="5" t="inlineStr">
        <is>
          <t>Venkata Mohan</t>
        </is>
      </c>
      <c r="G8" s="4" t="inlineStr">
        <is>
          <t>Anthropological Thought</t>
        </is>
      </c>
      <c r="H8" s="6" t="inlineStr">
        <is>
          <t>Anthropological Thought is a book written for the aspirants of Civil Services Main Examination. It will also help the aspirants of various state services examinations. The book covers the thought and philosophies of anthropologists and attempts to answer the basic questions related to anthropology. Ranging from classical evolutionists to post-modernists, the book delves deep into the insights provided by eminent thinkers like E.B. Tylor, Marvin Harris, Mead etc. It also deals with the various schools of anthropological thought. For the better understanding of students, the thinkers have been categorised into the various school of thoughts. Written in a simple and lucid language, the book will serve as a comprehensive reference for the students on the topics of Anthropological thought. Key Features: Categorisation of chapters based on the school of thoughts Coverage of range of thinkers like classical evolutionists to post-modernists Chapter-end practice questions for self-assessment Mapped to the revised syllabus of UPSC About the Author: Venkata Mohan is a B.Tech from IIT Madras. He is the author of multiple books on the subjects like sociology and ethics. He has also penned down other books for general readers. He has been guiding the aspirants of Civil Services for several years. Under his guidance, many students have successfully cracked the Civil Services examination.</t>
        </is>
      </c>
      <c r="I8" s="6" t="inlineStr">
        <is>
          <t>Venkata Mohan is a B.Tech from IIT Madras. He is the author of multiple books on the subjects like sociology and ethics. He has also penned down other books for general readers. He has been guiding the aspirants of Civil Services for several years. Under his guidance, many students have successfully cracked the Civil Services examination.</t>
        </is>
      </c>
      <c r="J8" s="4" t="n">
        <v>1</v>
      </c>
      <c r="K8" s="4" t="inlineStr">
        <is>
          <t>English</t>
        </is>
      </c>
      <c r="L8" s="4" t="inlineStr">
        <is>
          <t>PB</t>
        </is>
      </c>
      <c r="M8" s="6" t="inlineStr">
        <is>
          <t>India</t>
        </is>
      </c>
      <c r="N8" s="20" t="n">
        <v>43405</v>
      </c>
      <c r="O8" s="4">
        <f>230+16</f>
        <v/>
      </c>
      <c r="P8" s="44" t="n">
        <v>275</v>
      </c>
      <c r="Q8" s="6" t="n">
        <v>24</v>
      </c>
      <c r="R8" s="6" t="n">
        <v>18.5</v>
      </c>
      <c r="S8" s="6" t="n">
        <v>2.5</v>
      </c>
      <c r="T8" s="6" t="n">
        <v>250</v>
      </c>
    </row>
    <row r="9" ht="20.1" customHeight="1">
      <c r="A9" s="6" t="n">
        <v>8</v>
      </c>
      <c r="B9" s="4" t="inlineStr">
        <is>
          <t>Academic</t>
        </is>
      </c>
      <c r="C9" s="4" t="inlineStr">
        <is>
          <t>Edge</t>
        </is>
      </c>
      <c r="D9" s="10" t="n">
        <v>9788193917152</v>
      </c>
      <c r="E9" s="10" t="n">
        <v>8193917154</v>
      </c>
      <c r="F9" s="5" t="inlineStr">
        <is>
          <t>Manuj Jindal</t>
        </is>
      </c>
      <c r="G9" s="4" t="inlineStr">
        <is>
          <t>110+ in GS 2</t>
        </is>
      </c>
      <c r="H9" s="6" t="inlineStr">
        <is>
          <t>110+ in GS 2 is a book meant for the aspirants of the Civil Services Main Examination. It will also be a useful reference for those appearing in the various state services examinations. The book recommends a practical approach to answering the General Studies 2 Main Examination questions. It also covers various theoretical concepts from the syllabus provided by the UPSC. It has been designed with the primary purpose of helping aspirants to develop conceptual clarity of the most important topics in GS 2 and improve their answer-writing skills. To do so, the author has focused on providing hundreds of examples and over 100 solved answers (including answers to questions from the 2017 and 2018 Main Exam papers). Additionally, model answers are supplemented by 'approach' descriptions, which help the students to understand how to tackle the questions and strategize when taking the exam.  Key Features: - Covers key topics of GS 2: Constitutionalism, Governance, Supreme Court Cases, Policy, and many others - Covers analytical insights on national and international issues - Features latest examples from Supreme Court cases and Constitutional issues - Provides solutions to the questions of the papers of the years 2017 and 2018 of the General Studies Paper 2 of the Civil Services Main Examination - Provides over 100 solved questions and answer-writing tips/strategies About the Author:  Manuj Jindal is an officer of the Indian Administrative Service (IAS) of the 2017 batch. At present he is serving as an Officer Trainee in the Maharashtra cadre and is posted as Assistant Collector of Wardha. He is actively associated with guiding Civil Services aspirants.</t>
        </is>
      </c>
      <c r="I9" s="6" t="inlineStr">
        <is>
          <t>Manuj Jindal is an officer of the Indian Administrative Service (IAS) of the 2017 batch. At present he is serving as an Officer Trainee in the Maharashtra cadre and is posted as Assistant Collector of Wardha. He is actively associated with guiding Civil Services aspirants.</t>
        </is>
      </c>
      <c r="J9" s="4" t="n">
        <v>1</v>
      </c>
      <c r="K9" s="4" t="inlineStr">
        <is>
          <t>English</t>
        </is>
      </c>
      <c r="L9" s="4" t="inlineStr">
        <is>
          <t>PB</t>
        </is>
      </c>
      <c r="M9" s="6" t="inlineStr">
        <is>
          <t>India</t>
        </is>
      </c>
      <c r="N9" s="20" t="n">
        <v>43435</v>
      </c>
      <c r="O9" s="4">
        <f>303+19</f>
        <v/>
      </c>
      <c r="P9" s="44" t="n">
        <v>350</v>
      </c>
      <c r="Q9" s="6" t="n">
        <v>24</v>
      </c>
      <c r="R9" s="6" t="n">
        <v>18.5</v>
      </c>
      <c r="S9" s="6" t="n">
        <v>2.5</v>
      </c>
      <c r="T9" s="6" t="n">
        <v>400</v>
      </c>
    </row>
    <row r="10" ht="20.1" customHeight="1">
      <c r="A10" s="6" t="n">
        <v>9</v>
      </c>
      <c r="B10" s="4" t="inlineStr">
        <is>
          <t>Law</t>
        </is>
      </c>
      <c r="C10" s="4" t="inlineStr">
        <is>
          <t>OakBridge</t>
        </is>
      </c>
      <c r="D10" s="10" t="n">
        <v>9788193917190</v>
      </c>
      <c r="E10" s="10" t="n">
        <v>8193917197</v>
      </c>
      <c r="F10" s="5" t="inlineStr">
        <is>
          <t>Shailashri Bhaskar</t>
        </is>
      </c>
      <c r="G10" s="4" t="inlineStr">
        <is>
          <t>Issue of Capital and Disclosure Requirements</t>
        </is>
      </c>
      <c r="H10" s="6" t="inlineStr">
        <is>
          <t>Issue of Capital and Disclosure Requirements is the first publication in the, SEBI Regulations – Practical Reference Series, providing clarity on the recently introduced SEBI (ICDR) Regulations, 2018.  A first of its kind, SEBI Regulations – Practical Reference Series will cover the full gamut of key SEBI regulations in concise individual volumes covering the provisions, relevant case law and easy to refer tables. The aim is to provide a practical reference tool to the readers to quickly understand these regulations.  The current volume in addition to presenting the key provisions of the SEBI (ICDR) Regulations, 2018 also includes the following key features: Tabular representation of the comparative study of the 2009 Regulations and 2018 Regulations Analysis of key Informal Guidance issued by SEBI under the 2009 RegulationsCovers significant adjudication orders under the 2009 RegulationsIncludes important orders issued by the Securities Appellate Tribunal  The book will be highly useful to practitioners, law firms, corporate entities and professionals, adjudicating officers, department officials, chartered accountants, company secretaries, and public sector units.Shailashri Bhaskar is a Secretary in Whole Time Practice and former Deputy General Manager with SEBI, specializing in SEBI related matters and handles compliance and Corporate Governance issues of listed entities. She is a regular faculty at programs and seminars organized by the ICSI, ICAI, NISM, NSE and BSE. She is a specialist editor to the latest edition of M C Bhandari’s Guide to Company Law Procedures and has co-authored a book on the SEBI (Listing Obligations and Disclosure Requirements) Regulations, 2015.</t>
        </is>
      </c>
      <c r="I10" s="6" t="inlineStr">
        <is>
          <t>Shailashri Bhaskar is a Secretary in Whole Time Practice and former Deputy General Manager with SEBI, specializing in SEBI related matters and handles compliance and Corporate Governance issues of listed entities. She is a regular faculty at programs and seminars organized by the ICSI, ICAI, NISM, NSE and BSE. She is a specialist editor to the latest edition of M C Bhandari’s Guide to Company Law Procedures and has co-authored a book on the SEBI (Listing Obligations and Disclosure Requirements) Regulations, 2015.</t>
        </is>
      </c>
      <c r="J10" s="4" t="n">
        <v>1</v>
      </c>
      <c r="K10" s="4" t="inlineStr">
        <is>
          <t>English</t>
        </is>
      </c>
      <c r="L10" s="4" t="inlineStr">
        <is>
          <t>PB</t>
        </is>
      </c>
      <c r="M10" s="6" t="inlineStr">
        <is>
          <t>India</t>
        </is>
      </c>
      <c r="N10" s="20" t="n">
        <v>43435</v>
      </c>
      <c r="O10" s="4">
        <f>508+26</f>
        <v/>
      </c>
      <c r="P10" s="44" t="n">
        <v>695</v>
      </c>
      <c r="Q10" s="6" t="n">
        <v>24</v>
      </c>
      <c r="R10" s="6" t="n">
        <v>16</v>
      </c>
      <c r="S10" s="6" t="n">
        <v>2.5</v>
      </c>
      <c r="T10" s="6" t="n">
        <v>400</v>
      </c>
    </row>
    <row r="11" ht="20.1" customHeight="1">
      <c r="A11" s="6" t="n">
        <v>10</v>
      </c>
      <c r="B11" s="4" t="inlineStr">
        <is>
          <t>Law</t>
        </is>
      </c>
      <c r="C11" s="4" t="inlineStr">
        <is>
          <t>OakBridge</t>
        </is>
      </c>
      <c r="D11" s="10" t="n">
        <v>9788193966945</v>
      </c>
      <c r="E11" s="10" t="n">
        <v>8193966945</v>
      </c>
      <c r="F11" s="5" t="inlineStr">
        <is>
          <t>V Sudhish Pai</t>
        </is>
      </c>
      <c r="G11" s="4" t="inlineStr">
        <is>
          <t>Constitutional Supremacy</t>
        </is>
      </c>
      <c r="H11" s="6" t="inlineStr">
        <is>
          <t>Constitutional Supremacy - A Revisit  is a collection of essays on the underlying theme of courts, constitutional issues and constitutional adjudication. Institutions and systems are of abiding value in a constitutional democracy which can work only under institutional safeguards. Law is the principal institution through which a society can assert its values. Constitutionalism and the rule of law facilitate a democratic political system. The relation between the various institutions is not only legal but political; the legal and the political processes are intertwined. Constitutional adjudication is, at least to some extent, political. It is and always has to be statecraft. It is also a dynamic interaction between the different branches of government. There has to be a lively discourse in which all this is constantly evaluated and readjusted. While a superficial answer to the question about the Supreme Court’s role is that the Court is for judicial interpretation of the Constitution, a more relevant answer would have to explore the meaning of judicial interpretation. It is necessary and wise to recognize that there can be no legal solution for every problem. The book addresses these issues. The author’s efforts at critical examination of constitutional issues and evaluation of public law pronouncements are aimed at the cultivation of constitutionalism. The insights in the book will inspire lawyers, judges, legal academics, students, researchers, policy makers and interested citizens. About the Author: V Sudhish Pai  is a distinguished lawyer and jurist, and an acclaimed author. His contribution to academics, particularly in the area of critical constitutional analysis, has been substantial and significant. He was a Visiting Chair Professor, Asutosh Mookerjee Chair in WBNUJS, Kolkata and is a resource person at the National Judicial Academy, Bhopal for continuing legal education for judges.</t>
        </is>
      </c>
      <c r="I11" s="6" t="inlineStr">
        <is>
          <t>V Sudhish Pai is a distinguished lawyer and jurist, and an acclaimed author. His contribution to academics, particularly in the area of critical constitutional analysis, has been substantial and significant. He was a Visiting Chair Professor, Asutosh Mookerjee Chair in WBNUJS, Kolkata and is a resource person at the National Judicial Academy, Bhopal for continuing legal education for judges.</t>
        </is>
      </c>
      <c r="J11" s="4" t="n">
        <v>1</v>
      </c>
      <c r="K11" s="4" t="inlineStr">
        <is>
          <t>English</t>
        </is>
      </c>
      <c r="L11" s="4" t="inlineStr">
        <is>
          <t>HB(DJ)</t>
        </is>
      </c>
      <c r="M11" s="6" t="inlineStr">
        <is>
          <t>India</t>
        </is>
      </c>
      <c r="N11" s="20" t="n">
        <v>43466</v>
      </c>
      <c r="O11" s="4">
        <f>366+30</f>
        <v/>
      </c>
      <c r="P11" s="44" t="n">
        <v>895</v>
      </c>
      <c r="Q11" s="6" t="n">
        <v>24</v>
      </c>
      <c r="R11" s="6" t="n">
        <v>16</v>
      </c>
      <c r="S11" s="6" t="n">
        <v>2.5</v>
      </c>
      <c r="T11" s="6" t="n">
        <v>750</v>
      </c>
    </row>
    <row r="12" ht="20.1" customHeight="1">
      <c r="A12" s="6" t="n">
        <v>11</v>
      </c>
      <c r="B12" s="4" t="inlineStr">
        <is>
          <t>Law</t>
        </is>
      </c>
      <c r="C12" s="4" t="inlineStr">
        <is>
          <t>OakBridge</t>
        </is>
      </c>
      <c r="D12" s="10" t="n">
        <v>9788193966938</v>
      </c>
      <c r="E12" s="10" t="n">
        <v>8193966937</v>
      </c>
      <c r="F12" s="5" t="inlineStr">
        <is>
          <t>Sriram Panchu</t>
        </is>
      </c>
      <c r="G12" s="4" t="inlineStr">
        <is>
          <t>The Commercial Mediation Monograph</t>
        </is>
      </c>
      <c r="H12" s="6" t="inlineStr">
        <is>
          <t>You fall into a dispute, try to talk it over, perhaps meet for a direct negotiation and when it fails you go into litigation. At which time you have moved into an unfamiliar world, where the decision making is out of your hands, tremendous delay and heavy costs are expected, and where inevitably there will be further damage to relationship between parties. At the end, and along the way, you would have asked your self the question – couldn’t there have been a better way to handle this problem between the two of us. Perhaps there is, now.  In recent times the legal system has witnessed a revolution of sorts. With mediation firmly in place in the Court set-up, it is time to turn attention to the area of what the author calls private mediation. Mediation is strongly indicated for a wide range of business and commercial disputes. Mediation has a dynamic flexibility which enables its use at multiple stages. The book focuses on commercial mediation in the Indian context. It discusses (i) why mediation, how it works and when to use it; (ii) its advantages &amp; limitations; (iii) the job of the mediator; (iv) participation by the parties to the dispute; (v) the role of lawyers &amp; GCs; and (vi) use in different sectors.  No matter what the complexity and stakes of the dispute, mediation helps. An amicable settlement is, after all, the best way to end dispute.  About The Author: Sriram Panchu commenced practice in 1976 at the Madras High Court and was designated a Senior Advocate in 1996. His field of law practice is constitutional and commercial law. Over the last 20 years, he has been instrumental in bringing mediation into India’s dispute resolution system. In 2005 he set up India’s first court – annexed mediation centre in the Madras High Court, and has gone on to assist the Supreme Court and other High Courts to do so. He has mediated a large number of complex and high-value commercial disputes in India and abroad.</t>
        </is>
      </c>
      <c r="I12" s="6" t="inlineStr">
        <is>
          <t>Sriram Panchu commenced practice in 1976 at the Madras High Court and was designated a Senior Advocate in 1996. His field of law practice is constitutional and commercial law. Over the last 20 years, he has been instrumental in bringing mediation into India’s dispute resolution system. In 2005 he set up India’s first court – annexed mediation centre in the Madras High Court, and has gone on to assist the Supreme Court and other High Courts to do so. He has mediated a large number of complex and high-value commercial disputes in India and abroad.</t>
        </is>
      </c>
      <c r="J12" s="4" t="n">
        <v>1</v>
      </c>
      <c r="K12" s="4" t="inlineStr">
        <is>
          <t>English</t>
        </is>
      </c>
      <c r="L12" s="4" t="inlineStr">
        <is>
          <t>PB(GF)</t>
        </is>
      </c>
      <c r="M12" s="6" t="inlineStr">
        <is>
          <t>India</t>
        </is>
      </c>
      <c r="N12" s="20" t="n">
        <v>43466</v>
      </c>
      <c r="O12" s="4">
        <f>108+28</f>
        <v/>
      </c>
      <c r="P12" s="44" t="n">
        <v>350</v>
      </c>
      <c r="Q12" s="6" t="n">
        <v>24</v>
      </c>
      <c r="R12" s="6" t="n">
        <v>16</v>
      </c>
      <c r="S12" s="6" t="n">
        <v>2.5</v>
      </c>
      <c r="T12" s="6" t="n">
        <v>200</v>
      </c>
    </row>
    <row r="13" ht="20.1" customHeight="1">
      <c r="A13" s="6" t="n">
        <v>12</v>
      </c>
      <c r="B13" s="4" t="inlineStr">
        <is>
          <t>Academic</t>
        </is>
      </c>
      <c r="C13" s="4" t="inlineStr">
        <is>
          <t>Edge</t>
        </is>
      </c>
      <c r="D13" s="10" t="n">
        <v>9788194031239</v>
      </c>
      <c r="E13" s="10" t="n">
        <v>8194031230</v>
      </c>
      <c r="F13" s="5" t="inlineStr">
        <is>
          <t>Smarak Swain</t>
        </is>
      </c>
      <c r="G13" s="4" t="inlineStr">
        <is>
          <t>Applied Psychology</t>
        </is>
      </c>
      <c r="H13" s="6" t="inlineStr">
        <is>
          <t>Applied Psychology 3e  is a book meant for the aspirants of Civil Services Main Examination. It will also help those appearing in various State Services Examinations.  The book deals with the topics mentioned in the syllabus of the Paper II of Psychology optional. It seeks to observe, analyse and interpret human behaviour using various tests and techniques. Starting from the application of psychology in solving human problems, the book delves deep into the use of psychological methods to solve the problems of modern life. It portrays the influence of groups, society, technology, and environment on human psychology. It provides simple and consolidated analysis of psychological principles and their applications in controlling, maintaining and modifying human behaviour.  The book has been written in a simple and lucid language. Diagrams and flowcharts have been used to facilitate a better understanding of the concepts.  Key Features:- Mapped to the syllabus of Paper II of the Psychology, prescribed by UPSC - Deals with the relevance of psychological principles in dealing with issues and concerns of modern life - Special chapter on the emerging field of media psychology - Special focus on India-specific and cross-cultural approaches - Provides application of psychological methods in organisational management, therapy, and public policy  About the Author Smarak Swain graduated in Electrical Engineering from the Indian Institute of Technology (IIT), Kharagpur in 2006 and joined the Indian Revenue Service (IRS) in 2008. He has also done Masters in Taxation and Business Laws (MTBL) from NALSAR University, Hyderabad. In the Income Tax department, he has wide experience in the fields of corporate and business assessments, financial investigation, tax administration of charitable and religious trusts, and international taxation.</t>
        </is>
      </c>
      <c r="I13" s="6" t="inlineStr">
        <is>
          <t>Smarak Swain graduated in Electrical Engineering from the Indian Institute of Technology (IIT), Kharagpur in 2006 and joined the Indian Revenue Service (IRS) in 2008. He has also done Masters in Taxation and Business Laws (MTBL) from NALSAR University, Hyderabad. In the Income Tax department, he has wide experience in the fields of corporate and business assessments, financial investigation, tax administration of charitable and religious trusts, and international taxation.</t>
        </is>
      </c>
      <c r="J13" s="4" t="n">
        <v>3</v>
      </c>
      <c r="K13" s="4" t="inlineStr">
        <is>
          <t>English</t>
        </is>
      </c>
      <c r="L13" s="4" t="inlineStr">
        <is>
          <t>PB</t>
        </is>
      </c>
      <c r="M13" s="6" t="inlineStr">
        <is>
          <t>India</t>
        </is>
      </c>
      <c r="N13" s="20" t="n">
        <v>43497</v>
      </c>
      <c r="O13" s="4">
        <f>452+12</f>
        <v/>
      </c>
      <c r="P13" s="44" t="n">
        <v>575</v>
      </c>
      <c r="Q13" s="6" t="n">
        <v>24</v>
      </c>
      <c r="R13" s="6" t="n">
        <v>18.5</v>
      </c>
      <c r="S13" s="6" t="n">
        <v>2.5</v>
      </c>
      <c r="T13" s="6" t="n">
        <v>550</v>
      </c>
    </row>
    <row r="14" ht="20.1" customHeight="1">
      <c r="A14" s="6" t="n">
        <v>13</v>
      </c>
      <c r="B14" s="4" t="inlineStr">
        <is>
          <t>Law</t>
        </is>
      </c>
      <c r="C14" s="4" t="inlineStr">
        <is>
          <t>OakBridge</t>
        </is>
      </c>
      <c r="D14" s="10" t="n">
        <v>9788193917138</v>
      </c>
      <c r="E14" s="10" t="n">
        <v>8193917138</v>
      </c>
      <c r="F14" s="5" t="inlineStr">
        <is>
          <t>Mool Chand Sharma</t>
        </is>
      </c>
      <c r="G14" s="4" t="inlineStr">
        <is>
          <t>Law, Justice &amp; Judicial Power</t>
        </is>
      </c>
      <c r="H14" s="6" t="inlineStr">
        <is>
          <t>Law, Justice and Judicial Power: Justice P.N. Bhagwati’s Approach is a Festschrift comprising of 24 essays written in the honor of the late Justice P.N. Bhagwati, former Chief Justice of India and contributed by eminent persons cutting across professions and disciplines including former Chief Justices of India and of other countries, sitting Judge of the Apex Court of India, law officers holding constitutional positions, distinguished lawyers, scholars of international repute, Parliamentarians and other policy makers and public statesmen. In their essays, the contributors have recalled, described, assessed and celebrated the contributions of Justice P.N. Bhagwati especially through Constitutional Jurisprudence, transforming Indian Constitution from a paper being treated as a document to a source of power bringing social revolution and converting courts from being used as a forum by repeat players to forum for justice to poor, disadvantaged, minorities and exploited. Professor (Dr.) Moolchand Sharma is an established scholar who has worked extensively in the area of Constitutional jurisprudence; Law, Political Economics and development; Law, Politics and Democracy; Poverty and Human Rights jurisprudence. List of Contributors: 1.Justice A K Sikri 2.Justice (Dr) D Y Chandrachud 3.Justice M N Venkatachaliah 4.Justice A M Ahmadi 5.Justice Michael Kirby 6.K K Venugopal 7.Soli J Sorabjee 8.Prof. (Dr) Upendra Baxi 9.Prof. N R Madhava Menon 10.Bibek Debroy 11.Aparajita Gupta 12.(Dr) Abhishek Singhvi 13.(Dr) Shashi Tharoor 14.Baijayant Panda 15.Prof. Faizan Mustafa 16.Aymen Mohammed 17.Prof. Satish C Shastri 18.(Dr) Mark Dsouza 19.M C Mehta 20.A S Chandhiok 21.Rupinder Singh Suri 22.(Dr) Aman Hingorani 23.Ashok H Desai 24.Prof. (Dr) Vijender Kumar 25.Prof. (Dr) S Surya Prakash</t>
        </is>
      </c>
      <c r="I14" s="6" t="inlineStr">
        <is>
          <t>Professor (Dr.) Moolchand Sharma is an established scholar who has worked extensively in the area of Constitutional jurisprudence; Law, Political Economics and development; Law, Politics and Democracy; Poverty and Human Rights jurisprudence.</t>
        </is>
      </c>
      <c r="J14" s="4" t="n">
        <v>1</v>
      </c>
      <c r="K14" s="4" t="inlineStr">
        <is>
          <t>English</t>
        </is>
      </c>
      <c r="L14" s="4" t="inlineStr">
        <is>
          <t>HB(DJ)</t>
        </is>
      </c>
      <c r="M14" s="6" t="inlineStr">
        <is>
          <t>India</t>
        </is>
      </c>
      <c r="N14" s="20" t="n">
        <v>43497</v>
      </c>
      <c r="O14" s="4">
        <f>332+150</f>
        <v/>
      </c>
      <c r="P14" s="44" t="n">
        <v>995</v>
      </c>
      <c r="Q14" s="6" t="n">
        <v>24</v>
      </c>
      <c r="R14" s="6" t="n">
        <v>16</v>
      </c>
      <c r="S14" s="6" t="n">
        <v>2.5</v>
      </c>
      <c r="T14" s="6" t="n">
        <v>900</v>
      </c>
    </row>
    <row r="15" ht="20.1" customHeight="1">
      <c r="A15" s="6" t="n">
        <v>14</v>
      </c>
      <c r="B15" s="4" t="inlineStr">
        <is>
          <t>Law</t>
        </is>
      </c>
      <c r="C15" s="4" t="inlineStr">
        <is>
          <t>OakBridge</t>
        </is>
      </c>
      <c r="D15" s="10" t="n">
        <v>9788193966969</v>
      </c>
      <c r="E15" s="10" t="inlineStr">
        <is>
          <t>B0847NT76Z</t>
        </is>
      </c>
      <c r="F15" s="5" t="inlineStr">
        <is>
          <t>Shailashri Bhaskar</t>
        </is>
      </c>
      <c r="G15" s="4" t="inlineStr">
        <is>
          <t>Substantial Acquisition of Shares and Takeovers</t>
        </is>
      </c>
      <c r="H15" s="6" t="inlineStr">
        <is>
          <t xml:space="preserve">  Substantial Acquisition of Shares and Takeovers explains the provisions of SEBI (Substantial Acquisition of Shares and Takeovers) Regulations, 2011 in a lucid manner within the SEBI Regulations – Practical Reference Series. &amp;nbsp; The current volume in addition to discussing the key provisions of the SEBI (SAST) Regulations, 2011 also includes the following: ·&amp;nbsp;&amp;nbsp;&amp;nbsp;&amp;nbsp;&amp;nbsp;&amp;nbsp;&amp;nbsp;&amp;nbsp; Analysis of key Informal Guidance issued by SEBI under the SEBI (SAST) Regulations, 2011 ·&amp;nbsp;&amp;nbsp;&amp;nbsp;&amp;nbsp;&amp;nbsp;&amp;nbsp;&amp;nbsp;&amp;nbsp; Significant adjudication orders under the SEBI (SAST) Regulations, 2011 ·&amp;nbsp;&amp;nbsp;&amp;nbsp;&amp;nbsp;&amp;nbsp;&amp;nbsp;&amp;nbsp;&amp;nbsp; Illustrations explaining various concepts including acquisition of voting rights, trigger limits for disclosures, and volume weighted average market price. &amp;nbsp; The book will be highly useful to practitioners,law firms, corporate entities and professionals, adjudicating officers,department officials, chartered accountants, company secretaries, and publicsector units.Shailashri Bhaskar is a Secretary in Whole Time Practice and former Deputy General Manager with SEBI, specializing in SEBI related matters and handles compliance and Corporate Governance issues of listed entities. She is a regular faculty at programs and seminars organized by the ICSI, ICAI, NISM, NSE and BSE. She is a specialist editor to the latest edition of M C Bhandari’s Guide to Company Law Procedures and has co-authored a book on the SEBI (Listing Obligations and Disclosure Requirements) Regulations, 2015.</t>
        </is>
      </c>
      <c r="I15" s="6" t="inlineStr">
        <is>
          <t>Shailashri Bhaskar is a Secretary in Whole Time Practice and former Deputy General Manager with SEBI, specializing in SEBI related matters and handles compliance and Corporate Governance issues of listed entities. She is a regular faculty at programs and seminars organized by the ICSI, ICAI, NISM, NSE and BSE. She is a specialist editor to the latest edition of M C Bhandari’s Guide to Company Law Procedures and has co-authored a book on the SEBI (Listing Obligations and Disclosure Requirements) Regulations, 2015.</t>
        </is>
      </c>
      <c r="J15" s="4" t="n">
        <v>1</v>
      </c>
      <c r="K15" s="4" t="inlineStr">
        <is>
          <t>English</t>
        </is>
      </c>
      <c r="L15" s="4" t="inlineStr">
        <is>
          <t>PB</t>
        </is>
      </c>
      <c r="M15" s="6" t="inlineStr">
        <is>
          <t>India</t>
        </is>
      </c>
      <c r="N15" s="20" t="n">
        <v>43497</v>
      </c>
      <c r="O15" s="4">
        <f>270+16</f>
        <v/>
      </c>
      <c r="P15" s="44" t="n">
        <v>395</v>
      </c>
      <c r="Q15" s="6" t="n">
        <v>24</v>
      </c>
      <c r="R15" s="6" t="n">
        <v>16</v>
      </c>
      <c r="S15" s="6" t="n">
        <v>2.5</v>
      </c>
      <c r="T15" s="6" t="n">
        <v>500</v>
      </c>
    </row>
    <row r="16" ht="20.1" customHeight="1">
      <c r="A16" s="6" t="n">
        <v>15</v>
      </c>
      <c r="B16" s="4" t="inlineStr">
        <is>
          <t>Academic</t>
        </is>
      </c>
      <c r="C16" s="4" t="inlineStr">
        <is>
          <t>Edge</t>
        </is>
      </c>
      <c r="D16" s="10" t="n">
        <v>9789389176124</v>
      </c>
      <c r="E16" s="10" t="inlineStr">
        <is>
          <t>B07VPJ5GX4</t>
        </is>
      </c>
      <c r="F16" s="5" t="inlineStr">
        <is>
          <t>Smarak Swain</t>
        </is>
      </c>
      <c r="G16" s="4" t="inlineStr">
        <is>
          <t>Contemporary Social Issues</t>
        </is>
      </c>
      <c r="H16" s="6" t="inlineStr">
        <is>
          <t>Contemporary Social Issues, Second Edition is comprehensive book written on the various social issues prevailing in India. While, the book is useful for the aspirants of the Civil Services and various State Services examinations, it is equally beneficial for the undergraduate courses of various universities.  The book is strongly rooted in empirical work of social scientists. Most essays in this book derive guidance from sociological thought, psychological findings, and economic theories. Each social issue is discussed from an academic perspective, and causal factors are based on research findings. The book brings together writings of different authors with different orientations and different styles of writing. The objective of each writer is to present the social issues they are dealing with in a lucid manner for the reader. New to the Edition :-- Inclusion of new topics like domestic violence, Gender imbalance and women participation among others- Discussion on new social problems that have cropped up due to rapid advancement of technology and communication- Provides an exclusive discussion on impact of administration on society</t>
        </is>
      </c>
      <c r="I16" s="6" t="inlineStr">
        <is>
          <t>Smarak Swain graduated in Electrical Engineering from the Indian Institute of Technology (IIT), Kharagpur in 2006 and joined the Indian Revenue Service (IRS) in 2008. He has also done Masters in Taxation and Business Laws (MTBL) from NALSAR University, Hyderabad. In the Income Tax department, he has wide experience in the fields of corporate and business assessments, financial investigation, tax administration of charitable and religious trusts, and international taxation.</t>
        </is>
      </c>
      <c r="J16" s="4" t="n">
        <v>2</v>
      </c>
      <c r="K16" s="4" t="inlineStr">
        <is>
          <t>English</t>
        </is>
      </c>
      <c r="L16" s="4" t="inlineStr">
        <is>
          <t>PB</t>
        </is>
      </c>
      <c r="M16" s="6" t="inlineStr">
        <is>
          <t>India</t>
        </is>
      </c>
      <c r="N16" s="20" t="n">
        <v>43647</v>
      </c>
      <c r="O16" s="4">
        <f>374+16</f>
        <v/>
      </c>
      <c r="P16" s="44" t="n">
        <v>295</v>
      </c>
      <c r="Q16" s="6" t="n">
        <v>24</v>
      </c>
      <c r="R16" s="6" t="n">
        <v>18.5</v>
      </c>
      <c r="S16" s="6" t="n">
        <v>2.5</v>
      </c>
      <c r="T16" s="6" t="n">
        <v>500</v>
      </c>
    </row>
    <row r="17" ht="20.1" customHeight="1">
      <c r="A17" s="6" t="n">
        <v>16</v>
      </c>
      <c r="B17" s="4" t="inlineStr">
        <is>
          <t>Law</t>
        </is>
      </c>
      <c r="C17" s="4" t="inlineStr">
        <is>
          <t>OakBridge</t>
        </is>
      </c>
      <c r="D17" s="10" t="n">
        <v>9789389176100</v>
      </c>
      <c r="E17" s="10" t="n">
        <v>9389176107</v>
      </c>
      <c r="F17" s="5" t="inlineStr">
        <is>
          <t>Shailashri Bhaskar</t>
        </is>
      </c>
      <c r="G17" s="4" t="inlineStr">
        <is>
          <t>Prohibition of Insider Trading</t>
        </is>
      </c>
      <c r="H17" s="6" t="inlineStr">
        <is>
          <t>Prohibition of Insider Trading, a part of the SEBI Regulations – Practical Reference Series, discusses the provisions of the SEBI (Prohibition of Insider Trading) Regulations, 2015. Written in a lucid manner, the book explains key provisions of the Regulation with the help of short-notes and illustrations.  SEBI Regulations – Practical Reference Series covers the full gamut of key SEBI regulations in concise individual volumes covering the provisions, relevant case law and easy to refer tables. The aim is to provide a practical reference tool to the readers to quickly understand the regulations that govern the Indian Securities Markets. The current volume in addition to discussing the provisions of the SEBI (PIT) Regulations, 2015 include the following: - Informal guidance given by SEBI, Orders passed by the Adjudicating Officers and Whole Time Members, SEBI and the Securities Appellate Tribunal - Examples and case laws as ready guidance to ensure compliance with Regulations - Major amendments made by the Amendment Regulations, 2018 - Comparative study between the SEBI (PIT) Regulations, 1992 &amp; SEBI (PIT) Regulations, 2015 - Guidance Note on SEBI (Prohibition of Insider Trading) Regulations, 2015 - Specimen of key documents such as Trading Plans, Code of Practices &amp; Procedures for Fair Disclosure - Buy Back of Securities - Share Based Employee Benefits - Real Estate Investment Trusts - Infrastructure Investment Trusts - Issue and Listing of Debt Securities  - Stock Exchanges and Clearing Corporations - Delisting of Equity Shares - Issue of Sweat Equity - Foreign Venture Capital &amp; Alternative Investment Funds - Depositories and Participants - Settlement of Administrative and Civil Proceedings  - Investor Protection and Education Fund - Portfolio Managers &amp; Investment Advisors</t>
        </is>
      </c>
      <c r="I17" s="6" t="inlineStr">
        <is>
          <t>Shailashri Bhaskar is a Secretary in Whole Time Practice and former Deputy General Manager with SEBI, specializing in SEBI related matters and handles compliance and Corporate Governance issues of listed entities. She is a regular faculty at programs and seminars organized by the ICSI, ICAI, NISM, NSE and BSE. She is a specialist editor to the latest edition of M C Bhandari’s Guide to Company Law Procedures and has co-authored a book on the SEBI (Listing Obligations and Disclosure Requirements) Regulations, 2015.</t>
        </is>
      </c>
      <c r="J17" s="4" t="n">
        <v>1</v>
      </c>
      <c r="K17" s="4" t="inlineStr">
        <is>
          <t>English</t>
        </is>
      </c>
      <c r="L17" s="4" t="inlineStr">
        <is>
          <t>PB</t>
        </is>
      </c>
      <c r="M17" s="6" t="inlineStr">
        <is>
          <t>India</t>
        </is>
      </c>
      <c r="N17" s="20" t="n">
        <v>43647</v>
      </c>
      <c r="O17" s="4">
        <f>254+18</f>
        <v/>
      </c>
      <c r="P17" s="44" t="n">
        <v>450</v>
      </c>
      <c r="Q17" s="6" t="n">
        <v>24</v>
      </c>
      <c r="R17" s="6" t="n">
        <v>16</v>
      </c>
      <c r="S17" s="6" t="n">
        <v>2.5</v>
      </c>
      <c r="T17" s="6" t="n">
        <v>700</v>
      </c>
    </row>
    <row r="18" ht="20.1" customHeight="1">
      <c r="A18" s="6" t="n">
        <v>17</v>
      </c>
      <c r="B18" s="4" t="inlineStr">
        <is>
          <t>Academic</t>
        </is>
      </c>
      <c r="C18" s="4" t="inlineStr">
        <is>
          <t>Edge</t>
        </is>
      </c>
      <c r="D18" s="10" t="n">
        <v>9789389176117</v>
      </c>
      <c r="E18" s="10" t="n">
        <v>9395764627</v>
      </c>
      <c r="F18" s="5" t="inlineStr">
        <is>
          <t>Praveen Kumar</t>
        </is>
      </c>
      <c r="G18" s="4" t="inlineStr">
        <is>
          <t>Disaster Management</t>
        </is>
      </c>
      <c r="H18" s="6" t="inlineStr">
        <is>
          <t>Disaster Management has been written for providing insights on various types of disasters and the ways to manage them. It is useful for the aspirants of Civil Services and various State services Examinations. It will also be useful for the undergraduate courses of various universities.  Starting with the introduction of disasters, the book provides an information on the various types of natural and man-made disasters. It further delves deep into the various approaches and aspects of disaster management, mitigation techniques, disaster preparedness, capacity building and the role of various stakeholders in disaster management. It also provides information on the various institutions and organisations involved in disaster management.  Divided into five parts and twenty chapters, the book will serve as a comprehensive reference on disaster management. The book is written in a simple and lucid language. Flowcharts, maps, diagrams and tables have been used for better understanding.  Key Features: - Provides insights on various types of disasters- Elucidates the core principles of disaster management - Explains the role of various stakeholders in the management of disasters- Covers international cooperation in the field of disaster management- Explains the role of technology in the managing the disasters</t>
        </is>
      </c>
      <c r="I18" s="6" t="inlineStr">
        <is>
          <t>Praveen Kumar has been a core geographer. He has completed his graduation, Master of Arts and Master of Philosophy from Dept. of Geography, Delhi School of Economics, University of Delhi. He has also completed Remote Sensing and GIS training from National Atlas and Thematic Mapping Organisation (NATMO), Kolkata, West Bengal. For the last fifteen years, he has been devoted in research and teaching.</t>
        </is>
      </c>
      <c r="J18" s="4" t="n">
        <v>1</v>
      </c>
      <c r="K18" s="4" t="inlineStr">
        <is>
          <t>English</t>
        </is>
      </c>
      <c r="L18" s="4" t="inlineStr">
        <is>
          <t>PB</t>
        </is>
      </c>
      <c r="M18" s="6" t="inlineStr">
        <is>
          <t>India</t>
        </is>
      </c>
      <c r="N18" s="20" t="n">
        <v>43678</v>
      </c>
      <c r="O18" s="4">
        <f>294+14</f>
        <v/>
      </c>
      <c r="P18" s="44" t="n">
        <v>295</v>
      </c>
      <c r="Q18" s="6" t="n">
        <v>24</v>
      </c>
      <c r="R18" s="6" t="n">
        <v>18.5</v>
      </c>
      <c r="S18" s="6" t="n">
        <v>2.5</v>
      </c>
      <c r="T18" s="6" t="n">
        <v>380</v>
      </c>
    </row>
    <row r="19" ht="20.1" customHeight="1">
      <c r="A19" s="6" t="n">
        <v>18</v>
      </c>
      <c r="B19" s="4" t="inlineStr">
        <is>
          <t>Academic</t>
        </is>
      </c>
      <c r="C19" s="4" t="inlineStr">
        <is>
          <t>Edge</t>
        </is>
      </c>
      <c r="D19" s="10" t="n">
        <v>9789389176186</v>
      </c>
      <c r="E19" s="10" t="n">
        <v>9389176182</v>
      </c>
      <c r="F19" s="5" t="inlineStr">
        <is>
          <t>OakBridge</t>
        </is>
      </c>
      <c r="G19" s="4" t="inlineStr">
        <is>
          <t>Q&amp;A: Part 2: Modern India and Indian National Movement</t>
        </is>
      </c>
      <c r="H19" s="6" t="inlineStr">
        <is>
          <t>Q&amp;A Series Part 2 – Modern India and Indian National Movement has been written for the aspirants of Civil Services (Preliminary) Examination. It will also help the students in the preparation of various state services examinations.  Keeping in view the new syllabi and the changing trends of Civil Services (Preliminary) Examination, the book provides practice questions on the various topics of Modern India and Indian National Movement. These questions are in consonance with the latest pattern of the UPSC. In order to develop a comprehensive insight on the topics, each chapter is followed by an elaborate explanation of the questions provided in that chapter. Explanations have been written in a manner to help the aspirants to tackle the other questions related to the topic.  Key features: - Provides topic-wise practice questions - Provides detailed solutions to the questions - Based on the latest pattern of the Civil Services (Preliminary) Examination - Presents 3 practice sets on the subject, for the purpose of self-assessmentThe series comprises eight practice workbooks related to the various subjects mentioned in the syllabus of CSE. These books provide questions, along with their solutions, on the various topics of the subjects, to make the students thorough with the pattern of Civil Services (Preliminary) Examination. Q&amp;A Series has been written as an adjunct to our General Studies Series. Hence, it is mapped to the eight books of General Studies series. The idea is to aid the self-assessment process, once the aspirant has gone through the eight books of General Studies Series.</t>
        </is>
      </c>
      <c r="I19" s="6" t="inlineStr">
        <is>
          <t>The book has been prepared by the Content Team of Oakbridge under the guidance of faculties.</t>
        </is>
      </c>
      <c r="J19" s="4" t="n">
        <v>1</v>
      </c>
      <c r="K19" s="4" t="inlineStr">
        <is>
          <t>English</t>
        </is>
      </c>
      <c r="L19" s="4" t="inlineStr">
        <is>
          <t>PB</t>
        </is>
      </c>
      <c r="M19" s="6" t="inlineStr">
        <is>
          <t>India</t>
        </is>
      </c>
      <c r="N19" s="20" t="n">
        <v>43678</v>
      </c>
      <c r="O19" s="4">
        <f>324+12</f>
        <v/>
      </c>
      <c r="P19" s="44" t="n">
        <v>295</v>
      </c>
      <c r="Q19" s="6" t="n">
        <v>24</v>
      </c>
      <c r="R19" s="6" t="n">
        <v>18.5</v>
      </c>
      <c r="S19" s="6" t="n">
        <v>2.5</v>
      </c>
      <c r="T19" s="6" t="n">
        <v>400</v>
      </c>
    </row>
    <row r="20" ht="20.1" customHeight="1">
      <c r="A20" s="6" t="n">
        <v>19</v>
      </c>
      <c r="B20" s="4" t="inlineStr">
        <is>
          <t>Law</t>
        </is>
      </c>
      <c r="C20" s="4" t="inlineStr">
        <is>
          <t>OakBridge</t>
        </is>
      </c>
      <c r="D20" s="10" t="n">
        <v>9789389176223</v>
      </c>
      <c r="E20" s="10" t="n">
        <v>9389176220</v>
      </c>
      <c r="F20" s="5" t="inlineStr">
        <is>
          <t>Shailashri Bhaskar</t>
        </is>
      </c>
      <c r="G20" s="4" t="inlineStr">
        <is>
          <t>Buyback of Securities and Delisting of Equity Shares</t>
        </is>
      </c>
      <c r="H20" s="6" t="inlineStr">
        <is>
          <t>Buyback of Securities and Delisting of Equity Shares, a part of the SEBI Regulations – Practical Reference Series, discusses the provisions of the SEBI (Buy-back of Securities) Regulations, 2018 and the SEBI (Delisting of Equity Shares) Regulations, 2009. As part of the Series, it aims to provide a practical reference tool to the readers to quickly understand these Regulations in a comprehensive and lucid manner. Key Features: - Provides the updated position of law taking into account the latest amendments- Analyses the SEBI (Delisting of Equity Shares) (Second Amendment) Regulations, 2018 and major amendments thereunder such as:* introduction of the concept of Counter Offer, * new definition of Specific Date,* clarification that the Merchant Banker who conducted Due Diligence could also be the Manager to the Offer- Includes illustrations and case law as ready guidance to ensure compliance with Regulations- Examines the interplay between Buy-back Regulations and the Substantial Acquisition of Shares &amp; Takeovers Regulations- Contains checklists of activities and timelines under both the Regulations for easy reference- Covers Frequently Asked Questions under the Delisting of Equity Shares Regulations- Includes specimen of key documents such as Board Resolution, Public Notice, Public Announcement and Relevant Reports- Compares different types of buyback in a tabular format The book will be highly useful to practitioners, law firms, corporate entities and professionals, adjudicating officers, department officials, chartered accountants, company secretaries, and public sector units.Shailashri Bhaskar is a Secretary in Whole Time Practice and former Deputy General Manager with SEBI, specializing in SEBI related matters and handles compliance and Corporate Governance issues of listed entities. She is a regular faculty at programs and seminars organized by the ICSI, ICAI, NISM</t>
        </is>
      </c>
      <c r="I20" s="6" t="inlineStr">
        <is>
          <t>Shailashri Bhaskar is a Secretary in Whole Time Practice and former Deputy General Manager with SEBI, specializing in SEBI related matters and handles compliance and Corporate Governance issues of listed entities. She is a regular faculty at programs and seminars organized by the ICSI, ICAI, NISM, NSE and BSE. She is a specialist editor to the latest edition of M C Bhandari’s Guide to Company Law Procedures and has co-authored a book on the SEBI (Listing Obligations and Disclosure Requirements) Regulations, 2015.</t>
        </is>
      </c>
      <c r="J20" s="4" t="n">
        <v>1</v>
      </c>
      <c r="K20" s="4" t="inlineStr">
        <is>
          <t>English</t>
        </is>
      </c>
      <c r="L20" s="4" t="inlineStr">
        <is>
          <t>PB</t>
        </is>
      </c>
      <c r="M20" s="6" t="inlineStr">
        <is>
          <t>India</t>
        </is>
      </c>
      <c r="N20" s="20" t="n">
        <v>43678</v>
      </c>
      <c r="O20" s="4" t="n">
        <v>464</v>
      </c>
      <c r="P20" s="44" t="n">
        <v>695</v>
      </c>
      <c r="Q20" s="6" t="n">
        <v>24</v>
      </c>
      <c r="R20" s="6" t="n">
        <v>16</v>
      </c>
      <c r="S20" s="6" t="n">
        <v>2.5</v>
      </c>
      <c r="T20" s="6" t="n">
        <v>700</v>
      </c>
    </row>
    <row r="21" ht="20.1" customHeight="1">
      <c r="A21" s="6" t="n">
        <v>20</v>
      </c>
      <c r="B21" s="4" t="inlineStr">
        <is>
          <t>Law</t>
        </is>
      </c>
      <c r="C21" s="4" t="inlineStr">
        <is>
          <t>OakBridge</t>
        </is>
      </c>
      <c r="D21" s="10" t="n">
        <v>9789389176193</v>
      </c>
      <c r="E21" s="10" t="n">
        <v>9389176190</v>
      </c>
      <c r="F21" s="5" t="inlineStr">
        <is>
          <t>Richa Kachhwaha</t>
        </is>
      </c>
      <c r="G21" s="4" t="inlineStr">
        <is>
          <t>The Art of Legal Writing</t>
        </is>
      </c>
      <c r="H21" s="6" t="inlineStr">
        <is>
          <t>In today’s sophisticated law practice, lawyers and legal professionals have a challenging twin- task: that of addressing complex subject matter and producing cogent written work with which the reader can connect without getting lost in the legalese. The Art of Legal Writing: Practicing Lawyers to Successful Professionals discusses the interplay between the fundamentals and specific techniques of legal writing and editing. The book covers linguistic and stylistic tools of contract drafting, the art of written advocacy, and writing for businesses in the in-house practice. It also examines the role of technology in legal research and how it is disrupting the practice of law. Techniques of editing and proofreading are the other key takeaways of the book. Diverse set of examples are incorporated throughout the narrative to illustrate the application of various principles and techniques.  The book will be valuable for lawyers (litigation and corporate), in-house legal counsels, law students and academicians.  Praise for the book: “… a commendable work which fills the void of adequate literature on the art of legal writing. It is a must read for both novices and experienced professionals… This book will equip a professional to master the skill of using words effectively to establish a connect with the reader in the legal context.”~ M.A. Rashid, Editor and Founder Author of Ultimate Guide to CLAT and Ultimate Guide to Judicial service Examination “Writing is oxygen for lawyers because they write more than any other professional .. Buy this and keep it on the top of your book-shelf throughout the 3 or 5 years of your law school and beyond.”  ~ Tanuj Kalia, Founding CEO – LawctopusRicha Kachhwaha has over 14 years of experience in legal writing and editing. She is a qualified Solicitor of Supreme Court of England and Wales and holds a Masters’ Degree in Commercial Laws</t>
        </is>
      </c>
      <c r="I21" s="6" t="inlineStr">
        <is>
          <t>Richa Kachhwaha has over 14 years of experience in legal writing and editing. She is a qualified Solicitor of Supreme Court of England and Wales and holds a Masters’ Degree in Commercial Laws</t>
        </is>
      </c>
      <c r="J21" s="4" t="n">
        <v>1</v>
      </c>
      <c r="K21" s="4" t="inlineStr">
        <is>
          <t>English</t>
        </is>
      </c>
      <c r="L21" s="4" t="inlineStr">
        <is>
          <t>PB</t>
        </is>
      </c>
      <c r="M21" s="6" t="inlineStr">
        <is>
          <t>India</t>
        </is>
      </c>
      <c r="N21" s="20" t="n">
        <v>43678</v>
      </c>
      <c r="O21" s="4">
        <f>260+34</f>
        <v/>
      </c>
      <c r="P21" s="44" t="n">
        <v>550</v>
      </c>
      <c r="Q21" s="6" t="n">
        <v>24</v>
      </c>
      <c r="R21" s="6" t="n">
        <v>16</v>
      </c>
      <c r="S21" s="6" t="n">
        <v>2.5</v>
      </c>
      <c r="T21" s="6" t="n">
        <v>150</v>
      </c>
    </row>
    <row r="22" ht="20.1" customHeight="1">
      <c r="A22" s="6" t="n">
        <v>21</v>
      </c>
      <c r="B22" s="4" t="inlineStr">
        <is>
          <t>Tax</t>
        </is>
      </c>
      <c r="C22" s="4" t="inlineStr">
        <is>
          <t>OakBridge</t>
        </is>
      </c>
      <c r="D22" s="10" t="n">
        <v>9789389176209</v>
      </c>
      <c r="E22" s="10" t="n">
        <v>9389176204</v>
      </c>
      <c r="F22" s="5" t="inlineStr">
        <is>
          <t>Atul Kumar Gupta</t>
        </is>
      </c>
      <c r="G22" s="4" t="inlineStr">
        <is>
          <t>Goods &amp; Services Tax: Law, Practice &amp; Procedure (2 Volumes) 4/e</t>
        </is>
      </c>
      <c r="H22" s="6" t="inlineStr">
        <is>
          <t>Goods and Services Tax: Law, Practice and Procedures, 4th Edition  provides a comprehensive analysis of the law governing taxation of Goods and Services in India. Key FeaturesThe commentary, while providing the updated position of law as on 23 August 2019 alsoElucidates the basic concepts of GST in a simplified and lucid mannerAnalyses in-depth the provisions of CGST/SGST/UTGST and GST (Compensation to States) Act, 2017Exhaustively analyses the Finance Bill (No. 2), 2019 Covers latest notifications and circulars issued Provides clarity on the concept of Supply, Time of Supply (Point of Taxation) and Place of SupplyComprehensively discusses the provisions for e-way bill along with solutions to practical problemsExamines TDS and TCS provisions along with their SOPs as issued by the departmentProvides appropriate guidance on Anti-Profiteering measures along with practical case study as provided in Section 171 of the CGST Act, 2017Explains the requirements for Input Tax Credit under the Input Tax Credit provisions and RulesContains 105 Illustrations, 43 Flowcharts, Info-Capsules &amp; FAQs at the end of relevant chapters providing practical guidance on the provisions of lawIncludes a separate chapter on GST Annual AuditAnalyses SABKA VISHWAS (Legacy Dispute Resolution) Scheme, 2019 and includes Rules &amp; Forms under it The book will be of immense value to tax practitioners, tax professionals, financial advisors &amp; consultants, tax enforcement agencies &amp; its officers.Mr Atul Kumar Gupta is a fellow member of the Institute of Chartered Accountants of India and the Institute of Cost Accountants of India, besides being a Law Graduate. A member of various other professional bodies and Institutions, Mr Gupta is a thorough scholar and has qualified CA examination with All India Rank. He was a Central Council Member of ICAI from 2013-16 &amp; 2016-2019</t>
        </is>
      </c>
      <c r="I22" s="6" t="inlineStr">
        <is>
          <t>Atul Kumar Gupta is a fellow member of the Institute of Chartered Accountants of India and the Institute of Cost Accountants of India, besides being a Law Graduate. A member of various other professional bodies and Institutions, Mr Gupta is a thorough scholar and has qualified CA examination with All India Rank. He was a Central Council Member of ICAI from 2013-16 &amp; 2016-2019</t>
        </is>
      </c>
      <c r="J22" s="4" t="n">
        <v>4</v>
      </c>
      <c r="K22" s="4" t="inlineStr">
        <is>
          <t>English</t>
        </is>
      </c>
      <c r="L22" s="4" t="inlineStr">
        <is>
          <t>PB</t>
        </is>
      </c>
      <c r="M22" s="6" t="inlineStr">
        <is>
          <t>India</t>
        </is>
      </c>
      <c r="N22" s="20" t="n">
        <v>43678</v>
      </c>
      <c r="O22" s="4">
        <f>678+1038</f>
        <v/>
      </c>
      <c r="P22" s="44" t="n">
        <v>2495</v>
      </c>
      <c r="Q22" s="6" t="n">
        <v>24</v>
      </c>
      <c r="R22" s="6" t="n">
        <v>16</v>
      </c>
      <c r="S22" s="6" t="n">
        <v>2.5</v>
      </c>
      <c r="T22" s="6" t="n">
        <v>600</v>
      </c>
    </row>
    <row r="23" ht="20.1" customHeight="1">
      <c r="A23" s="6" t="n">
        <v>22</v>
      </c>
      <c r="B23" s="4" t="inlineStr">
        <is>
          <t>Academic</t>
        </is>
      </c>
      <c r="C23" s="4" t="inlineStr">
        <is>
          <t>Edge</t>
        </is>
      </c>
      <c r="D23" s="10" t="n">
        <v>9789389176230</v>
      </c>
      <c r="E23" s="10" t="n">
        <v>9389176239</v>
      </c>
      <c r="F23" s="5" t="inlineStr">
        <is>
          <t>OakBridge</t>
        </is>
      </c>
      <c r="G23" s="4" t="inlineStr">
        <is>
          <t>Q&amp;A: Part 3: Indian Constitution, Political System and Rights Issues</t>
        </is>
      </c>
      <c r="H23" s="6" t="inlineStr">
        <is>
          <t>Q&amp;A Series Part 3 – Indian Constitution, Political System and Rights Issues has been written for the aspirants of Civil Services (Preliminary) Examination. It will also help the students in the preparation of various state services examinations. Keeping in view the new syllabi and the changing trends of Civil Services (Preliminary) Examination, the book provides practice questions on the various aspects of Indian Constitution and Indian political system. These questions are in consonance with the latest pattern of the UPSC. In order to develop a comprehensive insight on the topics, each chapter is followed by an elaborate explanation of the questions provided in that chapter. Explanations have been written in a manner to help the aspirants to tackle the other questions related to the topic.- Provides topic-wise practice questions -Provides detailed solutions to the questions -Based on the latest pattern of the Civil Services (Preliminary) Examination -Presents 3 practice sets on the subject, for the purpose of self-assessment The book has been prepared by the Content Team of Oakbridge under the guidance of faculties.</t>
        </is>
      </c>
      <c r="I23" s="6" t="inlineStr">
        <is>
          <t>The book has been prepared by the Content Team of Oakbridge under the guidance of faculties.</t>
        </is>
      </c>
      <c r="J23" s="4" t="n">
        <v>1</v>
      </c>
      <c r="K23" s="4" t="inlineStr">
        <is>
          <t>English</t>
        </is>
      </c>
      <c r="L23" s="4" t="inlineStr">
        <is>
          <t>PB</t>
        </is>
      </c>
      <c r="M23" s="6" t="inlineStr">
        <is>
          <t>India</t>
        </is>
      </c>
      <c r="N23" s="20" t="n">
        <v>43709</v>
      </c>
      <c r="O23" s="4">
        <f>354+14</f>
        <v/>
      </c>
      <c r="P23" s="44" t="n">
        <v>395</v>
      </c>
      <c r="Q23" s="6" t="n">
        <v>24</v>
      </c>
      <c r="R23" s="6" t="n">
        <v>18.5</v>
      </c>
      <c r="S23" s="6" t="n">
        <v>2.5</v>
      </c>
      <c r="T23" s="6" t="n">
        <v>450</v>
      </c>
    </row>
    <row r="24" ht="20.1" customHeight="1">
      <c r="A24" s="6" t="n">
        <v>23</v>
      </c>
      <c r="B24" s="4" t="inlineStr">
        <is>
          <t>Tax</t>
        </is>
      </c>
      <c r="C24" s="4" t="inlineStr">
        <is>
          <t>OakBridge</t>
        </is>
      </c>
      <c r="D24" s="10" t="n">
        <v>9789389176247</v>
      </c>
      <c r="E24" s="10" t="n">
        <v>9389176247</v>
      </c>
      <c r="F24" s="5" t="inlineStr">
        <is>
          <t>OP Yadav</t>
        </is>
      </c>
      <c r="G24" s="4" t="inlineStr">
        <is>
          <t>Transfer Pricing in India</t>
        </is>
      </c>
      <c r="H24" s="6" t="inlineStr">
        <is>
          <t>Transfer Pricing in India: Principles and Practice  covers a gamut of issues relating to the implementation of Transfer Pricing provisions in India. The book will be of immense value to tax practitioners, advocates, chartered accountants, income-tax authorities, taxpayers, researchers, students and every person who deals with or practices or is interested in the transfer pricing provisions under the Income-tax Act,1961.Key features- Explains Transfer Pricing provisions, as amended by the Finance Acts, upto the Finance (No.2) Act, 2019 with the help of legislative intent and history- Examines the divergent opinions on TP issues delivered in decisions of appellate tribunals, High Courts and Excerpts from the “OECD-2017- Transfer Pricing Guidelines for Multinational Enterprises and Tax Administrators”- Discusses the manner of application and determination of ALP under various TP methods with the help of illustrations- Analyses the issues relating to computation of total income in consequence to primary and secondary TP adjustments- Includes discussion on specific TP issues related to information technology &amp; technology enables services, financial transactions, intra-group services, cost contribution arrangements and AMP- Explains the provisions on Advance Pricing Agreement (APA) scheme, Mutual Agreement Procedure (MAP), Safe Harbour Rules, Appeals and alternative Dispute Resolution Panel and applicable Forms- Discusses the impact of provisions of the Multilateral Convention to Implement Tax Treaty Related Measures in relation to MAP and corresponding adjustments About the Author:O. P. Yadav, a Post-Graduate in Economics, is an Indian Revenue Service Officer of 1988 Batch. At present he is working as Principal Commissioner of Income-tax.</t>
        </is>
      </c>
      <c r="I24" s="6" t="inlineStr">
        <is>
          <t>O. P. Yadav, a Post-Graduate in Economics, is an Indian Revenue Service Officer of 1988 Batch. At present he is working as Principal Commissioner of Income-tax.</t>
        </is>
      </c>
      <c r="J24" s="4" t="n">
        <v>1</v>
      </c>
      <c r="K24" s="4" t="inlineStr">
        <is>
          <t>English</t>
        </is>
      </c>
      <c r="L24" s="4" t="inlineStr">
        <is>
          <t>HB(DJ)</t>
        </is>
      </c>
      <c r="M24" s="6" t="inlineStr">
        <is>
          <t>India</t>
        </is>
      </c>
      <c r="N24" s="20" t="n">
        <v>43709</v>
      </c>
      <c r="O24" s="4">
        <f>508+24</f>
        <v/>
      </c>
      <c r="P24" s="44" t="n">
        <v>1295</v>
      </c>
      <c r="Q24" s="6" t="n">
        <v>24</v>
      </c>
      <c r="R24" s="6" t="n">
        <v>16</v>
      </c>
      <c r="S24" s="6" t="n">
        <v>2.5</v>
      </c>
      <c r="T24" s="6" t="n">
        <v>800</v>
      </c>
    </row>
    <row r="25" ht="20.1" customHeight="1">
      <c r="A25" s="6" t="n">
        <v>24</v>
      </c>
      <c r="B25" s="4" t="inlineStr">
        <is>
          <t>Academic</t>
        </is>
      </c>
      <c r="C25" s="4" t="inlineStr">
        <is>
          <t>Edge</t>
        </is>
      </c>
      <c r="D25" s="10" t="n">
        <v>9789389176261</v>
      </c>
      <c r="E25" s="10" t="n">
        <v>9389176263</v>
      </c>
      <c r="F25" s="5" t="inlineStr">
        <is>
          <t>Nitesh Dhawan</t>
        </is>
      </c>
      <c r="G25" s="4" t="inlineStr">
        <is>
          <t>Naye Bharat Ki Chunautiyan</t>
        </is>
      </c>
      <c r="H25" s="6" t="inlineStr">
        <is>
          <t>नए भारत की चुनौतियाँ देश के सामाजिक मुद्दों पर लिखी गयी एक उत्कृष्ट पुस्तक है| सिविल सेवा परीक्षा, राज्य सेवा परीक्षा एवं अन्य प्रतियोगी परीक्षाओं के अलावा यह पुस्तक समाजशास्त्र और समाज कार्य से सम्बंधित विषयों में स्नातक/परास्नातक कर रहे विद्यार्थियों के लिए भी उपयोगी सिद्ध होगी | सदियों की पराधीनता की बेड़ियों को तोड़ कर जब कोई देश नवनिर्माण की दिशा में अग्रसर होता हैं तो उसके पथ में भिन्न प्रकार की चुनौतियां आती हैं | भारत भी जहां एक तरफ विकास और सुशासन की रफ़्तार पकड़ रहा है, वहीँ दूसरी तरफ सामाज में कुछ ऐसे भी वर्ग हैं, जो इस उन्नति के सुफलों से वंचित हैं | इस पुस्तक में इन्ही विरोधाभास एवं उनके कारणों का गहन विश्लेषण करने का प्रयास किया गया है | पुस्तक के विभिन्न भागों में महिलाओं, बच्चों, वरिष्ठ नागरिकों और सामाज के कमजोर वर्गों की समस्यायों का विवरण है | इसमें सरकार द्वारा चलाये जा रहे विभिन्न प्रमुख कार्यक्रमों, योजनाओं एवं नीतियों को सारगर्भित ढंग से प्रस्तुत किया गया है, साथ ही साथ सामाजिक हस्तक्षेप के विभिन्न आयामों की भी चर्चा की गयी है|  प्रमुख विशेषताएँ- पाठकों, विशेषकर विद्यार्थियों के स्पष्टीकरण हेतु संपूर्ण पुस्तक का पांच भागों में विभाजन - सामाजिक, धार्मिक आन्दोलनों, नवजागरण एवं विद्वानों के सामाजिक चिंतन के साथ ही उनके सामाजिक दृष्टिकोण की व्याख्या - समसामयिक चर्चित सामाजिक मुद्दों का विश्लेषण तथा संभावित सुझाव एवं समाधान - शैक्षिक क्षेत्र के मुद्दे , पर्यावरण एवं स्वास्थय सम्बन्धी चुनौतियाँ, आतंरिक सुरक्षा और राजनैतिक मुद्दों का प्रस्तुतिकरणडाo नितेश धवन ने दिल्ली स्कूल ऑफ़ सोशल वर्क दिल्ली विश्वविद्यालय से एम0 फिल तथा लखनऊ विश्वविद्यालय से डॉक्टरेट की उपाधियाँ ग्रहण की है</t>
        </is>
      </c>
      <c r="I25" s="6" t="inlineStr">
        <is>
          <t>डाo नितेश धवन ने दिल्ली स्कूल ऑफ़ सोशल वर्क दिल्ली विश्वविद्यालय से एम0 फिल तथा लखनऊ विश्वविद्यालय से डॉक्टरेट की उपाधियाँ ग्रहण की है</t>
        </is>
      </c>
      <c r="J25" s="4" t="n">
        <v>1</v>
      </c>
      <c r="K25" s="4" t="inlineStr">
        <is>
          <t>Hindi</t>
        </is>
      </c>
      <c r="L25" s="4" t="inlineStr">
        <is>
          <t>PB</t>
        </is>
      </c>
      <c r="M25" s="6" t="inlineStr">
        <is>
          <t>India</t>
        </is>
      </c>
      <c r="N25" s="20" t="n">
        <v>43739</v>
      </c>
      <c r="O25" s="4">
        <f>220+20</f>
        <v/>
      </c>
      <c r="P25" s="44" t="n">
        <v>295</v>
      </c>
      <c r="Q25" s="6" t="n">
        <v>24</v>
      </c>
      <c r="R25" s="6" t="n">
        <v>18.5</v>
      </c>
      <c r="S25" s="6" t="n">
        <v>2.5</v>
      </c>
      <c r="T25" s="6" t="n">
        <v>400</v>
      </c>
    </row>
    <row r="26" ht="20.1" customHeight="1">
      <c r="A26" s="6" t="n">
        <v>25</v>
      </c>
      <c r="B26" s="4" t="inlineStr">
        <is>
          <t>BGR</t>
        </is>
      </c>
      <c r="C26" s="4" t="inlineStr">
        <is>
          <t>Cursive</t>
        </is>
      </c>
      <c r="D26" s="10" t="n">
        <v>9789389176094</v>
      </c>
      <c r="E26" s="10" t="n">
        <v>9389176093</v>
      </c>
      <c r="F26" s="5" t="inlineStr">
        <is>
          <t>Amit Nagpal</t>
        </is>
      </c>
      <c r="G26" s="4" t="inlineStr">
        <is>
          <t>Heroes Amongst Us</t>
        </is>
      </c>
      <c r="H26" s="6" t="inlineStr">
        <is>
          <t>What’s common between a business executive, film-director, advertising guru, stand-up comic, prison-reformer, Mrs Earth winner &amp; a social media expert? They are all ordinary people with extraordinary life stories. Heroes Amongst Us takes you along the inspirational life stories of 32 such ordinary people who achieved extraordinary success. It salutes their grit and passion to keep moving on despite adversity and obstacles. It celebrates the triumph of the invincible human spirit. When the life looks hard, the odds are against you and there is no hope, this book will inspire and encourage you to awaken the hero within and find your way ahead! Advance Praise"Examples of passionate leaders you will read in this book give us hope that ordinary human beings will discover their own formula for extraordinary achievements."~ Excerpt from the Foreword by Dr Ganesh Natarajan, Chairman, Social Venture Partners India &amp; 5F World, Former Chairman NASSCOM Foundation "Hugely inspired by the stories about people who dared to take the first step in order to realize their passions against all odds."~ Shreyas Talpade, Film Actor "A seed has a possibility of a forest; we all have that seed in us. All the stories are of people who took that first step and found themselves living their own dreams."~ Sanjay Suri, Actor and Producer</t>
        </is>
      </c>
      <c r="I26" s="6" t="inlineStr">
        <is>
          <t xml:space="preserve">Amit Nagpal's life revolves around stories. From Marketer to Professor to Storyteller, six words tell his life story. He is President &amp; Co-Founder of Bloggers Alliance. Professionally he works in the domain of digital &amp; brand storytelling. Personally, he is passionate about applications of storytelling. </t>
        </is>
      </c>
      <c r="J26" s="4" t="n">
        <v>1</v>
      </c>
      <c r="K26" s="4" t="inlineStr">
        <is>
          <t>English</t>
        </is>
      </c>
      <c r="L26" s="4" t="inlineStr">
        <is>
          <t>PB</t>
        </is>
      </c>
      <c r="M26" s="6" t="inlineStr">
        <is>
          <t>India</t>
        </is>
      </c>
      <c r="N26" s="20" t="n">
        <v>43739</v>
      </c>
      <c r="O26" s="4">
        <f>198+20</f>
        <v/>
      </c>
      <c r="P26" s="44" t="n">
        <v>495</v>
      </c>
      <c r="Q26" s="6" t="n">
        <v>24</v>
      </c>
      <c r="R26" s="6" t="n">
        <v>16</v>
      </c>
      <c r="S26" s="6" t="n">
        <v>2.5</v>
      </c>
      <c r="T26" s="6" t="n">
        <v>600</v>
      </c>
    </row>
    <row r="27" ht="20.1" customHeight="1">
      <c r="A27" s="6" t="n">
        <v>26</v>
      </c>
      <c r="B27" s="4" t="inlineStr">
        <is>
          <t>Law</t>
        </is>
      </c>
      <c r="C27" s="4" t="inlineStr">
        <is>
          <t>OakBridge</t>
        </is>
      </c>
      <c r="D27" s="10" t="n">
        <v>9789389176254</v>
      </c>
      <c r="E27" s="10" t="n">
        <v>9389176255</v>
      </c>
      <c r="F27" s="5" t="inlineStr">
        <is>
          <t>Anghrija Chakraborty, Ashima Obhan &amp;  Amar K Sundram</t>
        </is>
      </c>
      <c r="G27" s="4" t="inlineStr">
        <is>
          <t>Data Protection Laws Demystified</t>
        </is>
      </c>
      <c r="H27" s="6" t="inlineStr">
        <is>
          <t>Data Protection Laws Demystified addresses the issues of privacy and protection of personal data as well as client confidential data, especially brought to the fore by the European Union (EU) General Data Protection Regulation, the new draft of the Indian Data Protection Bill 2018 submitted by the Justice B. N. Srikrishna Committee on personal data protection in India, and other major privacy and personal data protection related legislative developments worldwide.  The book aims at answering the myriad questions about applicability of legislation, data ownership, data handling, data security, data subject (an individual’s) rights, and sanctions associated with legal/operational compliance to legislation; which have arisen in the aftermath of global convergence(s), new information technologies, changing business models and practices, evolving social norms, and new &amp; constantly changing legislation. It discusses methods of effectively implementing a comprehensive privacy program that would assist in securing and managing all types of personal data, especially in the context of the corporate sector and the non-profit sectors.  Written in a lucid language, FAQs, flowcharts and checklists have been incorporated to elucidate complex concepts and to provide practical guidance. The book will be of value to In-house Counsels and other Functional Heads, Cyber Security and IT Professionals, Corporate Sector, Law firms and Independent Practitioners, Government bodies/organisations, Judiciary, Policy makers and Organisations required to maintain client confidentiality under law i.e. CA firms; Audit Firms; Telecom Companies; E-commerce Companies, Fintech Companies etc.</t>
        </is>
      </c>
      <c r="I27" s="6" t="inlineStr">
        <is>
          <t>Anghrija Chakraborty holds degrees in English Literature and Law from Miranda House and the Faculty of Law, University of Delhi, respectively. Ashima Obhan heads the Corporate and M&amp;A practice at Obhan &amp; Associates. She has extensive experience in foreign investment, M&amp;A, joint ventures, cross-border transactions and commercial disputes. Amar Kumar Sundram has over two decades of rich experience, as a senior corporate lawyer with reputed organisations like DCM Shriram, Birla, TATA, AT&amp;T, Reliance, Citi and most recently Ernst &amp; Young where he served for over seven years as the National Director (India &amp; Bangladesh) &amp; the General Counsel.</t>
        </is>
      </c>
      <c r="J27" s="4" t="n">
        <v>1</v>
      </c>
      <c r="K27" s="4" t="inlineStr">
        <is>
          <t>English</t>
        </is>
      </c>
      <c r="L27" s="4" t="inlineStr">
        <is>
          <t>PB(GF)</t>
        </is>
      </c>
      <c r="M27" s="6" t="inlineStr">
        <is>
          <t>India</t>
        </is>
      </c>
      <c r="N27" s="20" t="n">
        <v>43739</v>
      </c>
      <c r="O27" s="4">
        <f>258+28</f>
        <v/>
      </c>
      <c r="P27" s="44" t="n">
        <v>895</v>
      </c>
      <c r="Q27" s="6" t="n">
        <v>24</v>
      </c>
      <c r="R27" s="6" t="n">
        <v>16</v>
      </c>
      <c r="S27" s="6" t="n">
        <v>2.5</v>
      </c>
      <c r="T27" s="6" t="n">
        <v>340</v>
      </c>
    </row>
    <row r="28" ht="20.1" customHeight="1">
      <c r="A28" s="6" t="n">
        <v>27</v>
      </c>
      <c r="B28" s="4" t="inlineStr">
        <is>
          <t>Law</t>
        </is>
      </c>
      <c r="C28" s="4" t="inlineStr">
        <is>
          <t>OakBridge</t>
        </is>
      </c>
      <c r="D28" s="10" t="n">
        <v>9789389176339</v>
      </c>
      <c r="E28" s="10" t="n">
        <v>9389176336</v>
      </c>
      <c r="F28" s="5" t="inlineStr">
        <is>
          <t>Sagar Tilak</t>
        </is>
      </c>
      <c r="G28" s="4" t="inlineStr">
        <is>
          <t>Practical Guide to Prohibition of Benami Property Transactions Act</t>
        </is>
      </c>
      <c r="H28" s="6" t="inlineStr">
        <is>
          <t>About: - Thematic commentary on the Benami Transactions (Prohibition) Act - Examines Benami Act vis-à-vis other Statutes Governing Economic Offences - Incorporates the 2019 Amendments to the Benami Law - Includes 100 FAQs &amp; 10 Advance Case Studies on Benami Law in India - Provides detailed analysis of 10 Important Judicial Precedents- Contains text of relevant Statutes, Rules, Notifications and Reports Advance Praise“…It is very difficult to do justice to such a law and provide a comprehensive and yet lucid commentary which deals with both the fundamental propositions and judicial review and analysis. Sagar Tilak’s book achieves this difficult task and goes further – it provides a fair amount of practical advice through FAQs, illustrations and case studies. A very useful book on a very complex subject.” ~ CA Gautam Doshi, Chartered Accountant  "The book on Benami Law written by CA Sagar Tilak is one of its kind on this legislation. The book gives history and evolution of Benami Law in such a way that the reader easily understands the provisions of Benami Law with complete background of the Benami transactions and the misuse of such Benami ownership. The Law as explained by the author along with a large number of FAQs, Advanced case studies and Judicial Precedents will be an excellent read and a guide for a beginner and senior Practitioners." ~ Nihar Jambusaria, Sr. VP - Taxation, Reliance IndustriesSagar Tilak is a practicing Chartered Accountant, with over a decade’s experience, specializing in tax advisory, and tax litigation. Sagar has delivered several lectures at seminars and conferences organized by various institutions including Institute of Chartered Accountants of India, Chamber of Tax Consultants, and International Fiscal Association. Sagar was specially invited to deliver a lecture on Benami Law for the Benami Cell of Income Tax Department in 2018.</t>
        </is>
      </c>
      <c r="I28" s="6" t="inlineStr">
        <is>
          <t>Sagar Tilak is a practicing Chartered Accountant, with over a decade’s experience, specializing in tax advisory, and tax litigation. Sagar has delivered several lectures at seminars and conferences organized by various institutions including Institute of Chartered Accountants of India, Chamber of Tax Consultants, and International Fiscal Association. Sagar was specially invited to deliver a lecture on Benami Law for the Benami Cell of Income Tax Department in 2018.</t>
        </is>
      </c>
      <c r="J28" s="4" t="n">
        <v>1</v>
      </c>
      <c r="K28" s="4" t="inlineStr">
        <is>
          <t>English</t>
        </is>
      </c>
      <c r="L28" s="4" t="inlineStr">
        <is>
          <t>PB</t>
        </is>
      </c>
      <c r="M28" s="6" t="inlineStr">
        <is>
          <t>India</t>
        </is>
      </c>
      <c r="N28" s="20" t="n">
        <v>43739</v>
      </c>
      <c r="O28" s="4">
        <f>432+24</f>
        <v/>
      </c>
      <c r="P28" s="44" t="n">
        <v>895</v>
      </c>
      <c r="Q28" s="6" t="n">
        <v>24</v>
      </c>
      <c r="R28" s="6" t="n">
        <v>16</v>
      </c>
      <c r="S28" s="6" t="n">
        <v>2.5</v>
      </c>
      <c r="T28" s="6" t="n">
        <v>700</v>
      </c>
    </row>
    <row r="29" ht="20.1" customHeight="1">
      <c r="A29" s="6" t="n">
        <v>28</v>
      </c>
      <c r="B29" s="4" t="inlineStr">
        <is>
          <t>Tax</t>
        </is>
      </c>
      <c r="C29" s="4" t="inlineStr">
        <is>
          <t>OakBridge</t>
        </is>
      </c>
      <c r="D29" s="10" t="n">
        <v>9789389176346</v>
      </c>
      <c r="E29" s="10" t="n">
        <v>9389176344</v>
      </c>
      <c r="F29" s="5" t="inlineStr">
        <is>
          <t>P V Srinivasan</t>
        </is>
      </c>
      <c r="G29" s="4" t="inlineStr">
        <is>
          <t>Tax Consolidation - A Global Perspective on Economic Unity</t>
        </is>
      </c>
      <c r="H29" s="6" t="inlineStr">
        <is>
          <t>Tax Consolidation is an expression which eloquently denotes a tax regime that operates on the concept of economic unity of a large corporate group, having several entities (having independent legal personality) but functioning beneath through common control. The tax administration looks at the corporate group as a whole, rather than its fragmentation into separate entities. Tax Consolidation: A Global Perspective on Economic Unity&gt;/b&gt; is spread over twenty-two chapters preceded by an informative overview of the topic including a brief history of its evolution. With a fervent desire to explore the quintessence of tax consolidation, the book navigates through several countries which have already put this regime in place. It further examines its dimensions broadly covering the possibility of participation of entities into the consolidation regime, the tax treatment accorded at the time of entry into consolidation, during its subsistence, the exit of an entity from consolidation, and upon deconsolidation.  A very useful jurisdiction-wise comparative analysis with tabular breakdown in the Appendices, will prove to be a convenient quick reference tool for the readers. The book explores a spectrum of policy issues that need consideration before embarking on the tax consolidation regime. It would be a handy reference for practitioners, law and policy makers, economists, and academicians. About the Author P V Srinivasan is a Chartered Accountant by qualification and a Member of ICAI. He is engaged as a corporate advisor, advising leading business houses on global taxation and corporate law matters. He has over 33 years of hands-on experience in manufacturing and information technology industries with regard to corporate tax compliances across tax jurisdictions including the US, Europe, India and Asia-Pacific, Latin America and Africa. He headed the Corporate Tax function at Wipro, Bangalore for over 18 years.</t>
        </is>
      </c>
      <c r="I29" s="6" t="inlineStr">
        <is>
          <t>P V Srinivasan is a Chartered Accountant by qualification and a Member of ICAI. He is engaged as a corporate advisor, advising leading business houses on global taxation and corporate law matters. He has over 33 years of hands-on experience in manufacturing and information technology industries with regard to corporate tax compliances across tax jurisdictions including the US, Europe, India and Asia-Pacific, Latin America and Africa. He headed the Corporate Tax function at Wipro, Bangalore for over 18 years.</t>
        </is>
      </c>
      <c r="J29" s="4" t="n">
        <v>1</v>
      </c>
      <c r="K29" s="4" t="inlineStr">
        <is>
          <t>English</t>
        </is>
      </c>
      <c r="L29" s="4" t="inlineStr">
        <is>
          <t>HB(DJ)</t>
        </is>
      </c>
      <c r="M29" s="6" t="inlineStr">
        <is>
          <t>India</t>
        </is>
      </c>
      <c r="N29" s="20" t="n">
        <v>43739</v>
      </c>
      <c r="O29" s="4">
        <f>256+30</f>
        <v/>
      </c>
      <c r="P29" s="44" t="n">
        <v>795</v>
      </c>
      <c r="Q29" s="6" t="n">
        <v>24</v>
      </c>
      <c r="R29" s="6" t="n">
        <v>16</v>
      </c>
      <c r="S29" s="6" t="n">
        <v>2.5</v>
      </c>
      <c r="T29" s="6" t="n">
        <v>600</v>
      </c>
    </row>
    <row r="30" ht="20.1" customHeight="1">
      <c r="A30" s="6" t="n">
        <v>29</v>
      </c>
      <c r="B30" s="4" t="inlineStr">
        <is>
          <t>Academic</t>
        </is>
      </c>
      <c r="C30" s="4" t="inlineStr">
        <is>
          <t>Edge</t>
        </is>
      </c>
      <c r="D30" s="10" t="n">
        <v>9789389176087</v>
      </c>
      <c r="E30" s="10" t="n">
        <v>9389176085</v>
      </c>
      <c r="F30" s="5" t="inlineStr">
        <is>
          <t>Pradeep Singh</t>
        </is>
      </c>
      <c r="G30" s="4" t="inlineStr">
        <is>
          <t>Governance in India</t>
        </is>
      </c>
      <c r="H30" s="6" t="inlineStr">
        <is>
          <t>Governance in India – A Handbook has been written for the aspirants of Civil Services Examination. It will also help the students in the preparation of various state services examinations.  Starting from the basic concepts of the governance, the book covers various aspects of administration, civil services and development authorities in India. It delves deep into the various facets of the governance in India, including regulatory and quasi-judicial bodies, NGOs and pressure groups, poverty and hunger. The book also deals with the issues related to vulnerable groups, health and education. Each chapter is provided with questions of the previous years’, asked in the Civil Services Examination, along with their solutions. Key features:  - Covers various aspects of governance and administration in India- Provides salient features of regulatory and quasi-judicial institutions- Provides insights on the issues of vulnerable groups like Women, Children, Senior Citizens and Minorities- Explains the problems related to Health and Education in India - Provides chapter-wise compilation of previous years’ questions, along with their model answer- Provides diagrams, flowcharts and mind-maps for better understanding- Mapped to the syllabus of the UPSC- Also useful for various state services examinations- Useful for both preliminary and main examinations The book has been written in a simple and lucid language. Illustrations, flowcharts and diagrams have been provided to facilitate the better understanding of the topics.Pradeep Singh is an offcier of Indian Administrative Service (IAS), who has secured AIR 26 in UPSC Civil Services Examination 2019 at the young age of 23. He graduated with Hons. in Commerce from IIPS – Devi Ahilya Vishwavidyalaya, Indore. He has keen interest in the Political system and Governance related matters of India. He is an eloquent orator as well as a poet.</t>
        </is>
      </c>
      <c r="I30" s="6" t="inlineStr">
        <is>
          <t>Pradeep Singh is an offcier of Indian Administrative Service (IAS), who has secured AIR 26 in UPSC Civil Services Examination 2019 at the young age of 23. He graduated with Hons. in Commerce from IIPS – Devi Ahilya Vishwavidyalaya, Indore. He has keen interest in the Political system and Governance related matters of India. He is an eloquent orator as well as a poet.</t>
        </is>
      </c>
      <c r="J30" s="4" t="n">
        <v>1</v>
      </c>
      <c r="K30" s="4" t="inlineStr">
        <is>
          <t>English</t>
        </is>
      </c>
      <c r="L30" s="4" t="inlineStr">
        <is>
          <t>PB</t>
        </is>
      </c>
      <c r="M30" s="6" t="inlineStr">
        <is>
          <t>India</t>
        </is>
      </c>
      <c r="N30" s="20" t="n">
        <v>43770</v>
      </c>
      <c r="O30" s="4">
        <f>312+26</f>
        <v/>
      </c>
      <c r="P30" s="44" t="n">
        <v>350</v>
      </c>
      <c r="Q30" s="6" t="n">
        <v>24</v>
      </c>
      <c r="R30" s="6" t="n">
        <v>18.5</v>
      </c>
      <c r="S30" s="6" t="n">
        <v>2.5</v>
      </c>
      <c r="T30" s="6" t="n">
        <v>400</v>
      </c>
    </row>
    <row r="31" ht="20.1" customHeight="1">
      <c r="A31" s="6" t="n">
        <v>30</v>
      </c>
      <c r="B31" s="4" t="inlineStr">
        <is>
          <t>Academic</t>
        </is>
      </c>
      <c r="C31" s="4" t="inlineStr">
        <is>
          <t>Edge</t>
        </is>
      </c>
      <c r="D31" s="10" t="n">
        <v>9789389176506</v>
      </c>
      <c r="E31" s="10" t="n">
        <v>9389176506</v>
      </c>
      <c r="F31" s="5" t="inlineStr">
        <is>
          <t>Alok S Jha</t>
        </is>
      </c>
      <c r="G31" s="4" t="inlineStr">
        <is>
          <t>A Brief History of the Modern World</t>
        </is>
      </c>
      <c r="H31" s="6" t="inlineStr">
        <is>
          <t>A Brief History of the Modern World has been written for the Civil Services Main Examination. It willalso be useful for various State Services Examinations. The book starts with the historicalbackground which shaped the modern world. It further delves deep into thevarious events from eighteenth century to twentieth century that took place inthe world. It provides an analysis of various political philosophies and theirrole in the events of the modern world. It covers major topics like German andItalian Unification, Nazism, Fascism, Economic Depression of 1929, Vietnam warand Collapse of USSR. Practice questions have been given at the end of the bookfor the purpose of self-assessment. The book is written in a simple and lucidlanguage. It is embedded with flowcharts, maps and diagrams to facilitate abetter understanding. Key Features·&amp;nbsp;&amp;nbsp;&amp;nbsp;&amp;nbsp;&amp;nbsp;&amp;nbsp;&amp;nbsp;&amp;nbsp;Provides a brief idea of thehistorical background that shaped the modern world·&amp;nbsp;&amp;nbsp;&amp;nbsp;&amp;nbsp;&amp;nbsp;&amp;nbsp;&amp;nbsp;&amp;nbsp;Covers major historical eventsof the world from eighteenth century onwards·&amp;nbsp;&amp;nbsp;&amp;nbsp;&amp;nbsp;&amp;nbsp;&amp;nbsp;&amp;nbsp;&amp;nbsp;Presentation of topics in theform of bullet-points·&amp;nbsp;&amp;nbsp;&amp;nbsp;&amp;nbsp;&amp;nbsp;&amp;nbsp;&amp;nbsp;&amp;nbsp;Provides practice questions andprevious years’ questions for self-assessment·&amp;nbsp;&amp;nbsp;&amp;nbsp;&amp;nbsp;&amp;nbsp;&amp;nbsp;&amp;nbsp;&amp;nbsp;Provides a separate chapter on‘Approach to answer writing’Testimonials“Alok sir has helped me a lot in the mainexamination through his guidance. “-&amp;nbsp;&amp;nbsp;&amp;nbsp;&amp;nbsp;&amp;nbsp;&amp;nbsp;&amp;nbsp;&amp;nbsp;&amp;nbsp;Bipasha Kalita (AIR-41, CSE2017)“I was the student of World History moduleof Alok Jha sir. He has a strong grip on the subject.”-&amp;nbsp;&amp;nbsp;&amp;nbsp;&amp;nbsp;&amp;nbsp;&amp;nbsp;&amp;nbsp;&amp;nbsp;&amp;nbsp;Manish Ranjan (AIR-287, CSE2017)“I had benefitted a lot from the Worldhistory classes of Alok Jha sir.”-&amp;nbsp;&amp;nbsp;&amp;nbsp;&amp;nbsp;&amp;nbsp;&amp;nbsp;&amp;nb</t>
        </is>
      </c>
      <c r="I31" s="6" t="inlineStr">
        <is>
          <t>Alok S Jha is the founding director of AAI. He has graduated from Delhi University in history. He has also pursued LLB from Delhi University. He has been guiding students in subjects like history and art &amp; culture for civil services and state services examinations for the last 13 years.</t>
        </is>
      </c>
      <c r="J31" s="4" t="n">
        <v>1</v>
      </c>
      <c r="K31" s="4" t="inlineStr">
        <is>
          <t>English</t>
        </is>
      </c>
      <c r="L31" s="4" t="inlineStr">
        <is>
          <t>PB</t>
        </is>
      </c>
      <c r="M31" s="6" t="inlineStr">
        <is>
          <t>India</t>
        </is>
      </c>
      <c r="N31" s="20" t="n">
        <v>43862</v>
      </c>
      <c r="O31" s="4" t="n">
        <v>252</v>
      </c>
      <c r="P31" s="44" t="n">
        <v>295</v>
      </c>
      <c r="Q31" s="6" t="n">
        <v>24</v>
      </c>
      <c r="R31" s="6" t="n">
        <v>18.5</v>
      </c>
      <c r="S31" s="6" t="n">
        <v>2.5</v>
      </c>
      <c r="T31" s="6" t="n">
        <v>300</v>
      </c>
    </row>
    <row r="32" ht="20.1" customHeight="1">
      <c r="A32" s="6" t="n">
        <v>31</v>
      </c>
      <c r="B32" s="4" t="inlineStr">
        <is>
          <t>Academic</t>
        </is>
      </c>
      <c r="C32" s="4" t="inlineStr">
        <is>
          <t>Edge</t>
        </is>
      </c>
      <c r="D32" s="10" t="n">
        <v>9789389176469</v>
      </c>
      <c r="E32" s="10" t="inlineStr">
        <is>
          <t>-</t>
        </is>
      </c>
      <c r="F32" s="5" t="inlineStr">
        <is>
          <t>OakBridge</t>
        </is>
      </c>
      <c r="G32" s="4" t="inlineStr">
        <is>
          <t xml:space="preserve">Q&amp;A Bhaag 3: Hindi: Bhartiya Samvidhan </t>
        </is>
      </c>
      <c r="H32" s="6" t="inlineStr">
        <is>
          <t xml:space="preserve">Q&amp;A Series Part 3 – Indian Constitution, Political System and Rights Issues has been written for the aspirants of Civil Services (Preliminary) Examination. It will also help the students in the preparation of various state services examinations. Keeping in view the new syllabi and the changing trends of Civil Services (Preliminary) Examination, the book provides practice questions on the various aspects of Indian Constitution and Indian political system. These questions are in consonance with the latest pattern of the UPSC. In order to develop a comprehensive insight on the topics, each chapter is followed by an elaborate explanation of the questions provided in that chapter. Explanations have been written in a manner to help the aspirants to tackle the other questions related to the topic.- Provides topic-wise practice questions -Provides detailed solutions to the questions -Based on the latest pattern of the Civil Services (Preliminary) Examination -Presents 3 practice sets on the subject, for the purpose of self-assessment </t>
        </is>
      </c>
      <c r="I32" s="6" t="inlineStr">
        <is>
          <t>The book has been prepared by the Content Team of Oakbridge under the guidance of faculties.</t>
        </is>
      </c>
      <c r="J32" s="4" t="n">
        <v>1</v>
      </c>
      <c r="K32" s="4" t="inlineStr">
        <is>
          <t>Hindi</t>
        </is>
      </c>
      <c r="L32" s="4" t="inlineStr">
        <is>
          <t>PB</t>
        </is>
      </c>
      <c r="M32" s="6" t="inlineStr">
        <is>
          <t>India</t>
        </is>
      </c>
      <c r="N32" s="20" t="n">
        <v>43862</v>
      </c>
      <c r="O32" s="4" t="n">
        <v>402</v>
      </c>
      <c r="P32" s="44" t="n">
        <v>350</v>
      </c>
      <c r="Q32" s="6" t="n">
        <v>24</v>
      </c>
      <c r="R32" s="6" t="n">
        <v>18.5</v>
      </c>
      <c r="S32" s="6" t="n">
        <v>2.5</v>
      </c>
      <c r="T32" s="6" t="n">
        <v>450</v>
      </c>
    </row>
    <row r="33" ht="20.1" customHeight="1">
      <c r="A33" s="6" t="n">
        <v>32</v>
      </c>
      <c r="B33" s="4" t="inlineStr">
        <is>
          <t>Academic</t>
        </is>
      </c>
      <c r="C33" s="4" t="inlineStr">
        <is>
          <t>Edge</t>
        </is>
      </c>
      <c r="D33" s="10" t="n">
        <v>9789389176445</v>
      </c>
      <c r="E33" s="10" t="inlineStr">
        <is>
          <t>-</t>
        </is>
      </c>
      <c r="F33" s="5" t="inlineStr">
        <is>
          <t>OakBridge</t>
        </is>
      </c>
      <c r="G33" s="4" t="inlineStr">
        <is>
          <t>Samanya Adhyayan Srinkhla Bhaag 1: Bhartiya Kala Evam Sanskriti</t>
        </is>
      </c>
      <c r="H33" s="6" t="inlineStr">
        <is>
          <t>It is a book meant for the aspirants of UPPSC main examination. It covers topics from the syllabus of General Studies Paper 1 (History, culture, geography and Indian society) of the new syllabus of UPPSC state service exam. Model papers are given for self-assessment. This book is the first part of the entire series for UPPSC main examination, which comprises a total of 4 booklets.</t>
        </is>
      </c>
      <c r="I33" s="6" t="inlineStr">
        <is>
          <t>The book has been prepared by the Content Team of Oakbridge under the guidance of faculties.</t>
        </is>
      </c>
      <c r="J33" s="4" t="n">
        <v>1</v>
      </c>
      <c r="K33" s="4" t="inlineStr">
        <is>
          <t>Hindi</t>
        </is>
      </c>
      <c r="L33" s="4" t="inlineStr">
        <is>
          <t>PB</t>
        </is>
      </c>
      <c r="M33" s="6" t="inlineStr">
        <is>
          <t>India</t>
        </is>
      </c>
      <c r="N33" s="20" t="n">
        <v>43862</v>
      </c>
      <c r="O33" s="4" t="n">
        <v>292</v>
      </c>
      <c r="P33" s="44" t="n">
        <v>295</v>
      </c>
      <c r="Q33" s="6" t="n">
        <v>24</v>
      </c>
      <c r="R33" s="6" t="n">
        <v>18.5</v>
      </c>
      <c r="S33" s="6" t="n">
        <v>2.5</v>
      </c>
      <c r="T33" s="6" t="n">
        <v>400</v>
      </c>
    </row>
    <row r="34" ht="20.1" customHeight="1">
      <c r="A34" s="6" t="n">
        <v>33</v>
      </c>
      <c r="B34" s="4" t="inlineStr">
        <is>
          <t>Tax</t>
        </is>
      </c>
      <c r="C34" s="4" t="inlineStr">
        <is>
          <t>OakBridge</t>
        </is>
      </c>
      <c r="D34" s="10" t="n">
        <v>9789389176483</v>
      </c>
      <c r="E34" s="10" t="n">
        <v>9389176484</v>
      </c>
      <c r="F34" s="5" t="inlineStr">
        <is>
          <t>Parthasarathi Shome</t>
        </is>
      </c>
      <c r="G34" s="4" t="inlineStr">
        <is>
          <t>International Taxation in the Digital Era</t>
        </is>
      </c>
      <c r="H34" s="6" t="inlineStr">
        <is>
          <t>International Taxation in the Digital Era comprises a selection of research papers presented at ITRAF’s Annual Conference in 2019. Contributed by authors from academia and practicing tax professionals, the volume is divided into two parts focusing on the digital economy, its form and taxation; and taxation of capital and its avoidance. Parthasarathi Shome is Chairman, ITRAF, Bengaluru, and Senior Visiting Fellow, London School of Economics. He was the Adviser (Minister of State) to the Finance Minister of India and Chairman of the Tax Administration Reform Commission (TARC). Contributors Judith Freedman Professor, Oxford University Dr Parthasarathi Shome Chairman, ITRAF Shikha Mehra Co-founder, MainChain Research &amp; Consulting Dr Rohit Roy Assistant Professor of Law, Christ (Deemed) University Alok Prasanna Kumar Senior Resident Fellow and Team Lead, Vidhi Centre for Legal Policy Vinti Agarwal Research Fellow, Tax Law Vertical, Vidhi Centre for Legal Policy Krupa Venkatesh Chief Catalyst-Tax and Technology, Consark Advisory PVSS Prasad Partner, Prasad &amp; Prasad, Chartered Accountants Saurav Bhattacharya Executive Director, PwC India Professor (Dr) Nigam Nuggehalli Dean, School of Law, BML Munjal University Mukesh Butani Managing Partner, BMR Legal Ashrita Prasad Kotha Doctoral Candidate Research and Teaching Associate, WU, Vienna S Krishnan International Tax Professional K R Girish Founder, KR Girish &amp; Associates</t>
        </is>
      </c>
      <c r="I34" s="6" t="inlineStr">
        <is>
          <t>Parthasarathi Shome is currently Chairman, ITRAF, Bengaluru, and Visiting Senior Fellow, London School of Economics. He was Adviser (Minister of State) to the Indian Finance Minister, and chaired India’s Tax Administration Reform Commission (TARC). He has held various positions, including Chief Economist, UK Revenue and Customs; Chief of Tax Policy, IMF; and Professor, American University, Washington DC. His work on GAAR and retrospective taxation is widely cited.</t>
        </is>
      </c>
      <c r="J34" s="4" t="n">
        <v>1</v>
      </c>
      <c r="K34" s="4" t="inlineStr">
        <is>
          <t>English</t>
        </is>
      </c>
      <c r="L34" s="4" t="inlineStr">
        <is>
          <t>HB(DJ)</t>
        </is>
      </c>
      <c r="M34" s="6" t="inlineStr">
        <is>
          <t>India</t>
        </is>
      </c>
      <c r="N34" s="20" t="n">
        <v>43862</v>
      </c>
      <c r="O34" s="4" t="n">
        <v>256</v>
      </c>
      <c r="P34" s="44" t="n">
        <v>995</v>
      </c>
      <c r="Q34" s="6" t="n">
        <v>24</v>
      </c>
      <c r="R34" s="6" t="n">
        <v>18.5</v>
      </c>
      <c r="S34" s="6" t="n">
        <v>2.5</v>
      </c>
      <c r="T34" s="6" t="n">
        <v>600</v>
      </c>
    </row>
    <row r="35" ht="20.1" customHeight="1">
      <c r="A35" s="6" t="n">
        <v>34</v>
      </c>
      <c r="B35" s="4" t="inlineStr">
        <is>
          <t>Academic</t>
        </is>
      </c>
      <c r="C35" s="4" t="inlineStr">
        <is>
          <t>Edge</t>
        </is>
      </c>
      <c r="D35" s="10" t="n">
        <v>9789389176520</v>
      </c>
      <c r="E35" s="10" t="inlineStr">
        <is>
          <t>-</t>
        </is>
      </c>
      <c r="F35" s="5" t="inlineStr">
        <is>
          <t>OakBridge</t>
        </is>
      </c>
      <c r="G35" s="4" t="inlineStr">
        <is>
          <t>Samanya Adhyayan Srinkhla Bhaag 2: Adhunik Bharat Evam Bhartiya Rashtriya Andolan</t>
        </is>
      </c>
      <c r="H35" s="6" t="inlineStr">
        <is>
          <t>It is a book meant for the aspirants of UPPSC main examination. It covers topics from the syllabus of General Studies Paper 2 (Constitution, Governance and International Relations) of the new syllabus of UPPSC state service exam. Model papers are given for self-assessment. This book is the second part of the entire series for UPPSC main examination, which comprises a total of 4 booklets.</t>
        </is>
      </c>
      <c r="I35" s="6" t="inlineStr">
        <is>
          <t>The book has been prepared by the Content Team of Oakbridge under the guidance of faculties.</t>
        </is>
      </c>
      <c r="J35" s="4" t="n">
        <v>1</v>
      </c>
      <c r="K35" s="4" t="inlineStr">
        <is>
          <t>Hindi</t>
        </is>
      </c>
      <c r="L35" s="4" t="inlineStr">
        <is>
          <t>PB</t>
        </is>
      </c>
      <c r="M35" s="6" t="inlineStr">
        <is>
          <t>India</t>
        </is>
      </c>
      <c r="N35" s="20" t="n">
        <v>43891</v>
      </c>
      <c r="O35" s="4" t="n">
        <v>304</v>
      </c>
      <c r="P35" s="44" t="n">
        <v>295</v>
      </c>
      <c r="Q35" s="6" t="n">
        <v>24</v>
      </c>
      <c r="R35" s="6" t="n">
        <v>18.5</v>
      </c>
      <c r="S35" s="6" t="n">
        <v>2.5</v>
      </c>
      <c r="T35" s="6" t="n">
        <v>400</v>
      </c>
    </row>
    <row r="36" ht="20.1" customHeight="1">
      <c r="A36" s="6" t="n">
        <v>35</v>
      </c>
      <c r="B36" s="4" t="inlineStr">
        <is>
          <t>Academic</t>
        </is>
      </c>
      <c r="C36" s="4" t="inlineStr">
        <is>
          <t>Edge</t>
        </is>
      </c>
      <c r="D36" s="10" t="n">
        <v>9789389176513</v>
      </c>
      <c r="E36" s="10" t="n">
        <v>9389176514</v>
      </c>
      <c r="F36" s="5" t="inlineStr">
        <is>
          <t>OakBridge</t>
        </is>
      </c>
      <c r="G36" s="4" t="inlineStr">
        <is>
          <t>Samanya Hindi</t>
        </is>
      </c>
      <c r="H36" s="6" t="inlineStr">
        <is>
          <t>सामान्य हिन्दी (द्वितीय संस्करण) सिविल सेवा परीक्षा एवं विभिन्न राज्यों द्वारा आयोजित राज्य सेवा परीक्षाओं हेतु लिखी गयी एक उत्कृष्ट पुस्तक है। यह अन्य प्रतियोगी परीक्षाओं हेतु भी उपयोगी है। इस पुस्तक में हिन्दी के आधारभूत अवधारणाओं की समुचित विवेचना की गयी है। विभिन्न चिन्हों का उपयोग, वाक्य विचार, संज्ञा, सर्वनाम, काल आदि जैसे मूलभूत विषयों की परिचर्चा से शुरू हुई यह पुस्तक, शब्द ज्ञान, पत्र—लेखन, संक्षेपण आदि प्रसंगों को विस्तृत रूप से वर्णित करती है। इसके अलावा इसमें हिन्दी भाषा एवं व्याक्रण से संबंधित टिप्पणियाँ भी की गयी हैं। भाषागत अवयवों, जैसे कि रस, छन्द एवं अलंकार की विवेचना भी इस पुस्तक में विस्तृत रूप से की गयी है। पुस्तक के अन्त में अभ्यास हेतु 11 मॉडल प्रश्न—पत्र दिए गये हैं। - हिन्दी भाषा के मूलभूत सिद्धान्तों का वर्णन - भाषा—शैली के विभिन्न घटकों — रस, छंद और अलंकार का अध्ययन - शब्द ज्ञान एवं प्रयोग पर विशिष्ट टिप्पणियाँ - संक्षेपण की उचित वैधानिक विधि का वर्णन - पत्र—लेखन विधि की विवेचना-- अभ्यास हेतु 11 मॉडल प्रश्न—पत्र - अपठित गघांश एवं पघांश संबंधी प्रश्नों को हल करने की विधि - उपसर्ग एवं प्रत्यय प्रयोग की विस्तृत जानकारी The book has been prepared by the Content Team of Oakbridge under the guidance of faculties.</t>
        </is>
      </c>
      <c r="I36" s="6" t="inlineStr">
        <is>
          <t>The book has been prepared by the Content Team of Oakbridge under the guidance of faculties.</t>
        </is>
      </c>
      <c r="J36" s="4" t="n">
        <v>2</v>
      </c>
      <c r="K36" s="4" t="inlineStr">
        <is>
          <t>Hindi</t>
        </is>
      </c>
      <c r="L36" s="4" t="inlineStr">
        <is>
          <t>PB</t>
        </is>
      </c>
      <c r="M36" s="6" t="inlineStr">
        <is>
          <t>India</t>
        </is>
      </c>
      <c r="N36" s="20" t="n">
        <v>43891</v>
      </c>
      <c r="O36" s="4" t="n">
        <v>300</v>
      </c>
      <c r="P36" s="44" t="n">
        <v>250</v>
      </c>
      <c r="Q36" s="6" t="n">
        <v>24</v>
      </c>
      <c r="R36" s="6" t="n">
        <v>16</v>
      </c>
      <c r="S36" s="6" t="n">
        <v>2.5</v>
      </c>
      <c r="T36" s="6" t="n">
        <v>1050</v>
      </c>
    </row>
    <row r="37" ht="20.1" customHeight="1">
      <c r="A37" s="6" t="n">
        <v>36</v>
      </c>
      <c r="B37" s="4" t="inlineStr">
        <is>
          <t>Tax</t>
        </is>
      </c>
      <c r="C37" s="4" t="inlineStr">
        <is>
          <t>OakBridge</t>
        </is>
      </c>
      <c r="D37" s="10" t="n">
        <v>9789389176490</v>
      </c>
      <c r="E37" s="10" t="n">
        <v>9389176166</v>
      </c>
      <c r="F37" s="5" t="inlineStr">
        <is>
          <t>K Vaitheeswaran</t>
        </is>
      </c>
      <c r="G37" s="4" t="inlineStr">
        <is>
          <t>Taxation of Digital Economy</t>
        </is>
      </c>
      <c r="H37" s="6" t="inlineStr">
        <is>
          <t>Digital Economy from being a mere extension of the brick and mortar space, has evolved into a full-fledged, vibrant economic space where goods and services are transacted digitally without the need for physical presence. Identifying the inadequacy of existing framework in addressing the challenges in taxing the digital economy, the OECD has highlighted three key characteristics of the digital economy, namely, scale without mass, intangibles and the role of data and user participation. Taxation of Digital Economy addresses this dilemma in an authoritative manner. The author captures the entire canvas of the digital economy and discusses in great detail its functioning and various aspects encompassing e-commerce, digital payments, virtual showrooms, virtual currencies, AI, big data, and data analytics. The author brings out tax challenges by providing an in-depth analysis of how the revenue generation activity takes place across the jurisdictions, the associated issue of establishing a PE and the relevance of a virtual and digital PE in the context of taxing rights. The concepts and implications of SEP, OIDAR services, export of services, reverse charge mechanism, and Equalisation Levy, in the context of the digital economy, have been described with insightful Indian and International case law. The chapters on Digital Taxes - International Experience, Unified Approach, and Possible Solutions throw light on the evolving course of action in this space. The book will be of value to lawyers, judges, chartered accountants, tax professionals, technocrats, policy-makers, students &amp; members of the public.</t>
        </is>
      </c>
      <c r="I37" s="6" t="inlineStr">
        <is>
          <t>K Vaitheeswaran has 30 years of experience in dispute advisory and litigation, consulting clients across the country in all practice areas. He is considered a specialist in tax and legal matters. He is a prolific writer and has authored various books on taxation and has contributed to innumerable articles, both in print and digital media.</t>
        </is>
      </c>
      <c r="J37" s="4" t="n">
        <v>1</v>
      </c>
      <c r="K37" s="4" t="inlineStr">
        <is>
          <t>English</t>
        </is>
      </c>
      <c r="L37" s="4" t="inlineStr">
        <is>
          <t>HB(DJ)</t>
        </is>
      </c>
      <c r="M37" s="6" t="inlineStr">
        <is>
          <t>India</t>
        </is>
      </c>
      <c r="N37" s="20" t="n">
        <v>43891</v>
      </c>
      <c r="O37" s="4" t="n">
        <v>354</v>
      </c>
      <c r="P37" s="44" t="n">
        <v>950</v>
      </c>
      <c r="Q37" s="6" t="n">
        <v>24</v>
      </c>
      <c r="R37" s="6" t="n">
        <v>18.5</v>
      </c>
      <c r="S37" s="6" t="n">
        <v>2.5</v>
      </c>
      <c r="T37" s="6" t="n">
        <v>729</v>
      </c>
    </row>
    <row r="38" ht="20.1" customHeight="1">
      <c r="A38" s="6" t="n">
        <v>37</v>
      </c>
      <c r="B38" s="4" t="inlineStr">
        <is>
          <t>Academic</t>
        </is>
      </c>
      <c r="C38" s="4" t="inlineStr">
        <is>
          <t>Edge</t>
        </is>
      </c>
      <c r="D38" s="10" t="n">
        <v>9789389176551</v>
      </c>
      <c r="E38" s="10" t="n">
        <v>9389176557</v>
      </c>
      <c r="F38" s="5" t="inlineStr">
        <is>
          <t>Atul Kulkarni</t>
        </is>
      </c>
      <c r="G38" s="4" t="inlineStr">
        <is>
          <t>Post Independence India</t>
        </is>
      </c>
      <c r="H38" s="6" t="inlineStr">
        <is>
          <t>Post Independence India  is a book written for the aspirants of Civil Services Examination. It is also useful for the aspirants of various State Services examinations. Keeping in view the latest pattern of the Civil Services examination, the book deals with the developments that took place in India after 1947. In order to facilitate better understanding, the book attempts to provide a brief background that shaped the nature of the Indian politics in the years following independence. The book also outlines the challenges faced by India at the eve of Independence. Starting from the linguistic reorganisation of the Indian states, the book delves deep into the regimes of various Prime ministers and their interventions in nation building. Sample questions have been provided at the end of the book for the purpose of self-assessment.  The book has been written in a simple and lucid language. Maps and diagrams have been used to facilitate a better understanding.  Key Features: Analysis of political and social issues of India after independenceEmbedded with mind-maps to facilitate a quick revisionProvides insights on political and territorial evolution of IndiaExplains the polices and measures taken by various Prime ministers for nation buildingOutlines the changes in Indian society in the wake of globalisation Provides sample questions, based on the latest pattern of UPSCAtul Kulkarni is serving as an Indian Police Service (IPS) officer in Maharashtra cadre. He secured AIR (All India Rank) 180 in CSE, 2014. He has also obtained a post-graduation degree from Tata Institute of Social Sciences in the area of Urban policy and Governance. Known for changing the face of women-safety through ‘Bharosa’ cells, he is popular for his people-friendly ways of policing.</t>
        </is>
      </c>
      <c r="I38" s="6" t="inlineStr">
        <is>
          <t>Atul Kulkarni is serving as an Indian Police Service (IPS) officer in Maharashtra cadre. He secured AIR (All India Rank) 180 in CSE, 2014. He has also obtained a post-graduation degree from Tata Institute of Social Sciences in the area of Urban policy and Governance. Known for changing the face of women-safety through ‘Bharosa’ cells, he is popular for his people-friendly ways of policing.</t>
        </is>
      </c>
      <c r="J38" s="4" t="n">
        <v>1</v>
      </c>
      <c r="K38" s="4" t="inlineStr">
        <is>
          <t>English</t>
        </is>
      </c>
      <c r="L38" s="4" t="inlineStr">
        <is>
          <t>PB</t>
        </is>
      </c>
      <c r="M38" s="6" t="inlineStr">
        <is>
          <t>India</t>
        </is>
      </c>
      <c r="N38" s="20" t="n">
        <v>43952</v>
      </c>
      <c r="O38" s="4" t="n">
        <v>225</v>
      </c>
      <c r="P38" s="44" t="n">
        <v>250</v>
      </c>
      <c r="Q38" s="6" t="n">
        <v>24</v>
      </c>
      <c r="R38" s="6" t="n">
        <v>18.5</v>
      </c>
      <c r="S38" s="6" t="n">
        <v>2.5</v>
      </c>
      <c r="T38" s="6" t="n">
        <v>300</v>
      </c>
    </row>
    <row r="39" ht="20.1" customHeight="1">
      <c r="A39" s="6" t="n">
        <v>38</v>
      </c>
      <c r="B39" s="4" t="inlineStr">
        <is>
          <t>Academic</t>
        </is>
      </c>
      <c r="C39" s="4" t="inlineStr">
        <is>
          <t>Edge</t>
        </is>
      </c>
      <c r="D39" s="10" t="n">
        <v>9789389176278</v>
      </c>
      <c r="E39" s="10" t="inlineStr">
        <is>
          <t>-</t>
        </is>
      </c>
      <c r="F39" s="5" t="inlineStr">
        <is>
          <t>OakBridge</t>
        </is>
      </c>
      <c r="G39" s="4" t="inlineStr">
        <is>
          <t>Q&amp;A Part 4: Geography of India &amp; The World</t>
        </is>
      </c>
      <c r="H39" s="6" t="inlineStr">
        <is>
          <t>General Studies Series Part 4 – Geography of India and the World has been written for the aspirants of Civil Services (Preliminary) Examination. It will also help the students in the preparation of various state services examinations.  The book is divided into two parts. Part 1 deals with the fundamentals of physical geography. It covers topics like solar system, evolution and structure of the earth, landforms, various climatic zones of the world and other significant details of the world geography. Part 2 incorporates the salient features of Indian geography. It provides an insight on the physiography of India, climate, demography and transport infrastructure in India. At the end of the book, practice questions, based on the latest pattern of UPSC, have been provided for the purpose of self-assessment.  The book has been written in a simple and lucid language. Maps, diagrams and illustrations have been provided to facilitate a better understanding of the topics.  Key features :-- Covers salient features of the Indian and the world geography - Provides detailed insights on physiography of India and its impact on the Indian climate- Explains the fundamentals of physical geography, climatology and oceanography - Provides solved questions of the previous years’ preliminary examinations from the year 2011 to 2019- Presents 120 practice MCQs for self-assessment- Provides trend analysis of the Civil Services Preliminary Examination 2018 and 2019</t>
        </is>
      </c>
      <c r="I39" s="6" t="inlineStr">
        <is>
          <t>The book has been prepared by the Content Team of Oakbridge under the guidance of faculties.</t>
        </is>
      </c>
      <c r="J39" s="4" t="n">
        <v>1</v>
      </c>
      <c r="K39" s="4" t="inlineStr">
        <is>
          <t>English</t>
        </is>
      </c>
      <c r="L39" s="4" t="inlineStr">
        <is>
          <t>PB</t>
        </is>
      </c>
      <c r="M39" s="6" t="inlineStr">
        <is>
          <t>India</t>
        </is>
      </c>
      <c r="N39" s="20" t="n">
        <v>43952</v>
      </c>
      <c r="O39" s="4" t="n">
        <v>298</v>
      </c>
      <c r="P39" s="44" t="n">
        <v>295</v>
      </c>
      <c r="Q39" s="6" t="n">
        <v>24</v>
      </c>
      <c r="R39" s="6" t="n">
        <v>16</v>
      </c>
      <c r="S39" s="6" t="n">
        <v>2.5</v>
      </c>
      <c r="T39" s="6" t="n">
        <v>450</v>
      </c>
    </row>
    <row r="40" ht="20.1" customHeight="1">
      <c r="A40" s="6" t="n">
        <v>39</v>
      </c>
      <c r="B40" s="4" t="inlineStr">
        <is>
          <t>Tax</t>
        </is>
      </c>
      <c r="C40" s="4" t="inlineStr">
        <is>
          <t>OakBridge</t>
        </is>
      </c>
      <c r="D40" s="10" t="n">
        <v>9789389176575</v>
      </c>
      <c r="E40" s="10" t="inlineStr">
        <is>
          <t>-</t>
        </is>
      </c>
      <c r="F40" s="5" t="inlineStr">
        <is>
          <t>G Natarajan</t>
        </is>
      </c>
      <c r="G40" s="4" t="inlineStr">
        <is>
          <t>GST for Construction Industry 2/e</t>
        </is>
      </c>
      <c r="H40" s="6" t="inlineStr">
        <is>
          <t xml:space="preserve">Demystifying GST for Construction Industry traces the history of taxation on the construction sector since 1948 with the famous decision of the Hon’ble Supreme Court in Gannon Dunkerly, setting the contours. By explaining the nuances of Service Tax levy on construction sector and referring to various judgments, the Book lays the foundation for the study of GST on construction sector. Various amendments in the GST law carried out since July 2017 pose a serious challenge in keeping track and complying with them. Further, the changes introduced from 01.04.2019 for construction sector impose various conditions, compliance of which would be a big challenge for the industry. This Book explains these changes and conditions lucidly, with ample examples, to make the understanding and compliance easier for the industry as well as professionals. In this second edition, the discussion on GST vis-a-vis Construction sector has been made clearer, simpler and more reader friendly. Further, care has been taken to include discussions on works contracts other than construction of residential apartments in this edition. Discussion on anti-profiteering provisions and certain important rulings of National Anti-profiteering Authority and Advance Ruling Authority have also been incorporated. This Book is a must buy for anyone who wants to understand the fundamentals of GST applicable to the construction sector. </t>
        </is>
      </c>
      <c r="I40" s="6" t="inlineStr">
        <is>
          <t>Ganesh Natarajan is an advocate by profession. He is also an Associate Member of the ICMA (ICWA). Prior to joining the legal profession, he has served as an Inspector of Central Excise in the Customs and Central Excise department from 1993 to 2003. His area of specialization is indirect taxation. Mr Natarajan is a well-known writer in the field of indirect taxation and has to his credit over 500 incisive articles published in leading magazines, journals, and tax portals.</t>
        </is>
      </c>
      <c r="J40" s="4" t="n">
        <v>2</v>
      </c>
      <c r="K40" s="4" t="inlineStr">
        <is>
          <t>English</t>
        </is>
      </c>
      <c r="L40" s="4" t="inlineStr">
        <is>
          <t>HB</t>
        </is>
      </c>
      <c r="M40" s="6" t="inlineStr">
        <is>
          <t>India</t>
        </is>
      </c>
      <c r="N40" s="20" t="n">
        <v>44013</v>
      </c>
      <c r="O40" s="4" t="n">
        <v>490</v>
      </c>
      <c r="P40" s="44" t="n">
        <v>950</v>
      </c>
      <c r="Q40" s="6" t="n">
        <v>24</v>
      </c>
      <c r="R40" s="6" t="n">
        <v>18.5</v>
      </c>
      <c r="S40" s="6" t="n">
        <v>2.5</v>
      </c>
      <c r="T40" s="6" t="n">
        <v>800</v>
      </c>
    </row>
    <row r="41" ht="20.1" customHeight="1">
      <c r="A41" s="6" t="n">
        <v>40</v>
      </c>
      <c r="B41" s="4" t="inlineStr">
        <is>
          <t>Academic</t>
        </is>
      </c>
      <c r="C41" s="4" t="inlineStr">
        <is>
          <t>Edge</t>
        </is>
      </c>
      <c r="D41" s="10" t="n">
        <v>9789389176148</v>
      </c>
      <c r="E41" s="10" t="inlineStr">
        <is>
          <t>938917614X</t>
        </is>
      </c>
      <c r="F41" s="5" t="inlineStr">
        <is>
          <t>Manuj Jindal</t>
        </is>
      </c>
      <c r="G41" s="4" t="inlineStr">
        <is>
          <t>110+ in GS 2 (Hindi)</t>
        </is>
      </c>
      <c r="H41" s="6" t="inlineStr">
        <is>
          <t>110+ in GS 2  सिविल सेवा मुख्य परीक्षा के अभ्यर्थियों के लिए लिखी गयी एक उत्कृष्ट पुस्तक है। यह विभिन्न राज्य सेवा परीक्षाओं के लिए भी उपयोगी सिद्ध होगी। पुस्तक में सामान्य अध्ययन प्रश्न पत्र 2 के प्रश्नों का उत्तर देने के लिए व्यावहारिक दृष्टिकोण हेतु मार्गदर्शन दिया गया है। इसमें यूपीएससी द्वारा प्रस्तावित पाठ्यक्रम के अनुरूप विभिन्न सैद्धांतिक अवधारणाओं को भी शामिल किया गया है। इसे सामान्य अध्ययन प्रश्न—पत्र 2 में प्रदत्त प्रसंगों की वैचारिक स्पष्टता विकसित करने एवं उत्तर—लेखन कौशल में सुधार करने में अभ्यर्थियों की मदद करने के प्राथमिक उद्देश्य के साथ विकसित किया गया है। ऐसा करने के लिए लेखक ने सैकड़ों उदाहरण और 100 से अधिक हल प्रश्न (वर्ष 2017, 2018 और 2019 की मुख्य परीक्षा के प्रश्नों के उत्तर सहित) प्रदान करने पर ध्यान केंद्रित किया है।  प्रमुख विशेषताएँ सामान्य अध्ययन के प्रमुख विषयों का समावेश — संविधानवाद शासन, सर्वोच्च न्यायालय से संबंधित मामले, नीति आदिराष्ट्रीय एवं अंतर्राष्ट्रीय मुद्दों पर अंतर्दृष्टिसर्वोच्च न्यायालय के निर्णय से सम्बंधित नवीनतम उदाहरण एवं संविधानिक मुद्दों पर विश्लेषणात्मक चर्चासिविल सेवा मुख्य परीक्षा के सामान्य अध्ययन प्रश्न पत्र 2 के वर्ष 2017, 2018 और 2019 के प्रश्न—पत्रों का हलउत्तर—लेखन सुझाव एवं रणनीतियों के साथ—साथ 100 से अधिक हल किए गए प्रश्न और उत्तर का समावेश About the Authorमनुज जिंदल 2017 बैच के भारतीय प्रशासनिक सेवा (आईएएस) के अधिकारी हैं। वर्तमान में वह महाराष्ट्र कैडर में पदस्थापित हैं। एक संवेदनशील लेखक होने के साथ-साथ खेलों के प्रति इनका उत्साह भी अवलोकनीय है ।</t>
        </is>
      </c>
      <c r="I41" s="6" t="inlineStr">
        <is>
          <t>मनुज जिंदल 2017 बैच के भारतीय प्रशासनिक सेवा (आईएएस) के अधिकारी हैं। वर्तमान में वह महाराष्ट्र कैडर में पदस्थापित हैं। एक संवेदनशील लेखक होने के साथ-साथ खेलों के प्रति इनका उत्साह भी अवलोकनीय है ।</t>
        </is>
      </c>
      <c r="J41" s="4" t="n">
        <v>1</v>
      </c>
      <c r="K41" s="4" t="inlineStr">
        <is>
          <t>Hindi</t>
        </is>
      </c>
      <c r="L41" s="4" t="inlineStr">
        <is>
          <t>PB</t>
        </is>
      </c>
      <c r="M41" s="6" t="inlineStr">
        <is>
          <t>India</t>
        </is>
      </c>
      <c r="N41" s="20" t="n">
        <v>44044</v>
      </c>
      <c r="O41" s="4" t="n">
        <v>320</v>
      </c>
      <c r="P41" s="44" t="n">
        <v>295</v>
      </c>
      <c r="Q41" s="6" t="n">
        <v>24</v>
      </c>
      <c r="R41" s="6" t="n">
        <v>18.5</v>
      </c>
      <c r="S41" s="6" t="n">
        <v>2.5</v>
      </c>
      <c r="T41" s="6" t="n">
        <v>400</v>
      </c>
    </row>
    <row r="42" ht="20.1" customHeight="1">
      <c r="A42" s="6" t="n">
        <v>41</v>
      </c>
      <c r="B42" s="4" t="inlineStr">
        <is>
          <t>Academic</t>
        </is>
      </c>
      <c r="C42" s="4" t="inlineStr">
        <is>
          <t>Edge</t>
        </is>
      </c>
      <c r="D42" s="10" t="n">
        <v>9789389176537</v>
      </c>
      <c r="E42" s="10" t="n">
        <v>9389176530</v>
      </c>
      <c r="F42" s="5" t="inlineStr">
        <is>
          <t>OakBridge</t>
        </is>
      </c>
      <c r="G42" s="4" t="inlineStr">
        <is>
          <t>Samanya Vigyan evam Praudyogiki</t>
        </is>
      </c>
      <c r="H42" s="6" t="inlineStr">
        <is>
          <t>सामान्य अध्ययन श्रृंखला भाग 6—सामान्य विज्ञान एवं प्रौघोगिकी सिविल सेवा (प्रारंभिक) परीक्षा के लिखी गयी एक उत्कृष्ट पुस्तक है। यह पुस्तक अभ्यर्थियों को विभिन्न राज्य लोक सेवा आयोगों की परीक्षाओं में भी समान रूप से सहायता करेगी। सिविल सेवा परीक्षा के बदलते पाठ्यक्रम एवं पैटर्न को ध्यान में रखते हुए यह पुस्तक विज्ञान और प्रौघोगिकी की मूलभूत अवधारणाओं पर व्यापक अंतर्दृष्टि प्रदान करती है और साथ—साथ उनके प्रासंगिक अनुप्रयोगों पर प्रकाश डालती है। यह पुस्तक रोबोटिक्स, डीएनए टेक्नोलॉजी, नैनोटेक्नोलॉजी, कृत्रिम बुद्धिमता, मशीन लर्निंग, ब्लॉकचेन, क्रिप्टोकरेंसी, इंटरनेट ऑफ थिंग्स, हाइपरलूप, इलेक्ट्रिक व्हीकल्स, ड्राइवरलेस कार, आदि जैसी उभरती प्राघौगिकियों के विषय में भी जानकारी प्रदान करती है। इसमें वैश्विक स्तर पर हो रही विज्ञान और प्रौघोगिकी के क्षेत्र में नवीनतम घटनाक्रमों पर भी समुचित सूचना उपलब्ध है।  किताब के अंत में स्व—मूल्यांकन हेतु यूपीएससी के नवीनतम पैटर्न पर अभ्यास प्रश्नों का संकलन दिया गया है। किताब को सरल और स्पष्ट भाषा में लिखा गया है। विषय की समझ को बेहतर एवं सुगम बनाने के लिए आरेखों एवं चित्रों का प्रयोग किया गया है। प्रमुख विशेषताएँविज्ञान और प्रोघौगिकी के प्रमख पहलुओं पर विश्लेषणात्मक अंतर्दृष्टिसामान्य विज्ञान (भौतिकी, रसायन विज्ञान और जीव विज्ञान) की मौलिक अवधारणाओं का समावेशबेहतर समझ हेतु आरेख एवं फ्लोचार्ट का उपयोगवर्ष 2011 से 2019 तक पिछले वर्षों की प्रारंभिक परीक्षाओं के हल—प्रश्नों का संकलन स्व—मूल्यांकन के लिए 120 अभ्यास प्रश्नों का प्रस्तुतीकरणसिविल सेवा प्रारंभिक परीक्षा 2019 का प्रवृत्ति विश्लेषणThe book has been prepared by the Content Team of Oakbridge under the guidance of faculties.</t>
        </is>
      </c>
      <c r="I42" s="6" t="inlineStr">
        <is>
          <t>The book has been prepared by the Content Team of Oakbridge under the guidance of faculties.</t>
        </is>
      </c>
      <c r="J42" s="4" t="n">
        <v>1</v>
      </c>
      <c r="K42" s="4" t="inlineStr">
        <is>
          <t>Hindi</t>
        </is>
      </c>
      <c r="L42" s="4" t="inlineStr">
        <is>
          <t>PB</t>
        </is>
      </c>
      <c r="M42" s="6" t="inlineStr">
        <is>
          <t>India</t>
        </is>
      </c>
      <c r="N42" s="20" t="n">
        <v>44044</v>
      </c>
      <c r="O42" s="4" t="n">
        <v>438</v>
      </c>
      <c r="P42" s="44" t="n">
        <v>325</v>
      </c>
      <c r="Q42" s="6" t="n">
        <v>24</v>
      </c>
      <c r="R42" s="6" t="n">
        <v>16</v>
      </c>
      <c r="S42" s="6" t="n">
        <v>2.5</v>
      </c>
      <c r="T42" s="6" t="n">
        <v>450</v>
      </c>
    </row>
    <row r="43" ht="20.1" customHeight="1">
      <c r="A43" s="6" t="n">
        <v>42</v>
      </c>
      <c r="B43" s="4" t="inlineStr">
        <is>
          <t>Law</t>
        </is>
      </c>
      <c r="C43" s="4" t="inlineStr">
        <is>
          <t>OakBridge</t>
        </is>
      </c>
      <c r="D43" s="10" t="n">
        <v>9789389176544</v>
      </c>
      <c r="E43" s="10" t="n">
        <v>9389176549</v>
      </c>
      <c r="F43" s="5" t="inlineStr">
        <is>
          <t>Anil Malhotra 
Ranjit Malhotra</t>
        </is>
      </c>
      <c r="G43" s="4" t="inlineStr">
        <is>
          <t>The Global Indians and The Law</t>
        </is>
      </c>
      <c r="H43" s="6" t="inlineStr">
        <is>
          <t>The Global Indians and the Law is a commentary on private international law in the exclusive Indian context attempts to provide comprehensive answers to the problems of the Indian diaspora and the global transnational Indian which may not find a solution in conventional statutory laws. The publication aims to be a comprehensive commentary for Courts abroad, an aggrieved spouse, a foreign litigant, an overseas practitioner, or any lay person who simply wants to know where they stand. A compilation of case law, enunciated by the vibrant Indian judiciary rendering a yeoman service, has been quoted for reliance. Unique case references fill in the statutory void in this ocean of ails. This unique reader-friendly, concise and crisp presentation in 7 individual Parts as expositions pose the problems and attempt to provide their answers. The authors with their years of expertise have aimed to project these problems as they have experienced them professionally. References to case law wherever necessary have been provided for the professional reader who wants an accurate and expeditious run-down on Indian law on the subject of custom, marriage, divorce, spousal maintenance, domestic and inter-country adoptions, child abduction, surrogacy, child rights, matrimonial settlements, succession and inheritance, besides issues of nationality and citizenship. About the Author: Anil Malhotra is a practising Advocate based at Chandigarh, India since September 1983.  Ranjit Malhotra was the first Indian Lawyer to be awarded the prestigious Felix Scholarship to read for the LLM Degree at the SOAS, University of London.</t>
        </is>
      </c>
      <c r="I43" s="6" t="inlineStr">
        <is>
          <t>Anil Malhotra is a practising Advocate based at Chandigarh, India since September 1983. Ranjit Malhotra was the first Indian Lawyer to be awarded the prestigious Felix Scholarship to read for the LLM Degree at the SOAS, University of London.</t>
        </is>
      </c>
      <c r="J43" s="4" t="n">
        <v>1</v>
      </c>
      <c r="K43" s="4" t="inlineStr">
        <is>
          <t>English</t>
        </is>
      </c>
      <c r="L43" s="4" t="inlineStr">
        <is>
          <t>HB(DJ)</t>
        </is>
      </c>
      <c r="M43" s="6" t="inlineStr">
        <is>
          <t>India</t>
        </is>
      </c>
      <c r="N43" s="20" t="n">
        <v>44044</v>
      </c>
      <c r="O43" s="4" t="n">
        <v>872</v>
      </c>
      <c r="P43" s="44" t="n">
        <v>1695</v>
      </c>
      <c r="Q43" s="6" t="n">
        <v>24</v>
      </c>
      <c r="R43" s="6" t="n">
        <v>18.5</v>
      </c>
      <c r="S43" s="6" t="n">
        <v>2.5</v>
      </c>
      <c r="T43" s="6" t="n">
        <v>1500</v>
      </c>
    </row>
    <row r="44" ht="20.1" customHeight="1">
      <c r="A44" s="6" t="n">
        <v>43</v>
      </c>
      <c r="B44" s="4" t="inlineStr">
        <is>
          <t>Academic</t>
        </is>
      </c>
      <c r="C44" s="4" t="inlineStr">
        <is>
          <t>Edge</t>
        </is>
      </c>
      <c r="D44" s="10" t="n">
        <v>9789389176155</v>
      </c>
      <c r="E44" s="10" t="n">
        <v>9389176158</v>
      </c>
      <c r="F44" s="5" t="inlineStr">
        <is>
          <t>Smarak Swain</t>
        </is>
      </c>
      <c r="G44" s="4" t="inlineStr">
        <is>
          <t>Anuprayukt Manovigyan</t>
        </is>
      </c>
      <c r="H44" s="6" t="inlineStr">
        <is>
          <t>अनुप्रयुक्त मनोविज्ञान (तृतीय संस्करण) सिविल सेवा मुख्य परीक्षा के उम्मीदवारों के लिए लिखी गयी एक पुस्तक है। यह विभिन्न राज्य सेवा परीक्षा में बैठने वाले अभ्यर्थियों के लिए भी लाभप्रद सिद्ध होगी। यह पुस्तक वैकल्पिक विषय मनोविज्ञान के द्वितीय प्रश्न पत्र के पाठ्यक्रम में उल्लिखित विषयों से संबंधित है। इस पुस्तक में विभिन्न परीक्षण और तकनीकों का उपयोग करके मानव व्यवहार का निरीक्षण, विश्लेषण और व्याख्या करने का प्रयास किया गया है। प्रमुख विशेषताएं  आधुनिक जीवन के मुद्दों और चिंताओं से निपटने में मनोवैज्ञानिक सिद्धांतों की प्रासंगिकता का विवरण मीडिया मनोविज्ञान जैसे उभरते क्षेत्रों पर विशेष अध्याय का समावेश भारत—विशिष्ट और पार-सांस्कृतिक दृष्टिकोणों का प्रस्तुतिकरण संगठनात्मक प्रबंधन, चिकित्सा और जन नीति—निर्माण में मनोवैज्ञानिक विधियों के अनुप्रयोग पर चर्चा लेखक के विषय में  स्मारक स्वाईं ने 2006 में भारतीय प्रौघोगिकी संस्थान (आईआईटी) खड़गपुर से इलेक्ट्रिकल इंजीनियरिंग में स्नातक किया और 2008 में भारतीय राजस्व सेवा (आईआरएस) में शामिल हो गए। उन्होंने नालसार विश्वविघालय, हैदराबाद से कराधान और व्यापार कानून (एमटीबीएल) में मास्टर्स भी किया है। आयकर विभाग में, इन्हें कॉर्पोरेट और व्यापार आंकलन, वित्तीय जांच, धर्मार्थ और धार्मिक ट्रस्ट के कर प्रशासन, और अंतर्राष्ट्रीय कराधान के क्षेत्र का व्यापक अनुभव है।</t>
        </is>
      </c>
      <c r="I44" s="6" t="inlineStr">
        <is>
          <t>Smarak Swain graduated in Electrical Engineering from the Indian Institute of Technology (IIT), Kharagpur in 2006 and joined the Indian Revenue Service (IRS) in 2008. He has also done Masters in Taxation and Business Laws (MTBL) from NALSAR University, Hyderabad. In the Income Tax department, he has wide experience in the fields of corporate and business assessments, financial investigation, tax administration of charitable and religious trusts, and international taxation.</t>
        </is>
      </c>
      <c r="J44" s="4" t="n">
        <v>3</v>
      </c>
      <c r="K44" s="4" t="inlineStr">
        <is>
          <t>Hindi</t>
        </is>
      </c>
      <c r="L44" s="4" t="inlineStr">
        <is>
          <t>PB</t>
        </is>
      </c>
      <c r="M44" s="6" t="inlineStr">
        <is>
          <t>India</t>
        </is>
      </c>
      <c r="N44" s="20" t="n">
        <v>44075</v>
      </c>
      <c r="O44" s="4" t="n">
        <v>484</v>
      </c>
      <c r="P44" s="44" t="n">
        <v>450</v>
      </c>
      <c r="Q44" s="6" t="n">
        <v>24</v>
      </c>
      <c r="R44" s="6" t="n">
        <v>18.5</v>
      </c>
      <c r="S44" s="6" t="n">
        <v>2.5</v>
      </c>
      <c r="T44" s="6" t="n">
        <v>600</v>
      </c>
    </row>
    <row r="45" ht="20.1" customHeight="1">
      <c r="A45" s="6" t="n">
        <v>44</v>
      </c>
      <c r="B45" s="4" t="inlineStr">
        <is>
          <t>Academic</t>
        </is>
      </c>
      <c r="C45" s="4" t="inlineStr">
        <is>
          <t>Edge</t>
        </is>
      </c>
      <c r="D45" s="10" t="n">
        <v>9789389176599</v>
      </c>
      <c r="E45" s="10" t="inlineStr">
        <is>
          <t>938917659X</t>
        </is>
      </c>
      <c r="F45" s="5" t="inlineStr">
        <is>
          <t>OakBridge</t>
        </is>
      </c>
      <c r="G45" s="4" t="inlineStr">
        <is>
          <t>UPPSC Prarambhik Pariksha: Samanya Adhyayan</t>
        </is>
      </c>
      <c r="H45" s="6" t="inlineStr">
        <is>
          <t>सामान्य अध्ययन – महत्वपूर्ण तथ्य एवं विषयवार अभ्यास प्रश्न उत्तर प्रदेश सम्मिलित राज्य/प्रवर अधीनस्थ सेवा (प्रारंभिक) परीक्षा हेतु लिखी गयी एक उपयोगी पुस्तक है | यह पुस्तक अन्य परीक्षा में भी अभ्यर्थियों का मार्गदर्शन करेगी |  यह पुस्तक यू.पी.पी.एस.सी प्रारंभिक परीक्षा के पाठ्यक्रम पर आधारित है| संपूर्ण पुस्तक को तीन खण्डों में विभाजित किया गया है खंड एक में भारत एवं उत्तर प्रदेश के समसामयिक सन्दर्भों की चर्चा, कोरोना की वर्तमान चुनौतियों के विस्तृत वर्णन के साथ-साथ भारत सरकार द्वारा लिए गए प्रमुख निर्णयों की व्याख्या, केंद्रीय बजट एवं आर्थिक समीक्षा पर टिपण्णी आदि का समावेश किया गया है | खंड दो में सामान्य अध्ययन से सम्बंधित विभिन्न विषयों पर अभ्यास प्रश्नों का संकलन किया गया है | उत्तर प्रदेश सामान्य ज्ञान से सम्बंधित प्रश्न भी इस खंड में दिए गए हैं | खंड तीन में मूल्यांकन हेतु प्रारंभिक परीक्षा हेतु मॉडल प्रश्न पत्रों का समावेश किया गया है | राज्य लोक सेवा आयोग द्वारा आयोजित परीक्षा को ध्यान में रखते हुए पुस्तक को नवीनतम आंकड़ों से परिपूर्ण किया गया है |  प्रमुख विशेषताएँ कोरोना की वर्तमान चुनौती एवं इस सन्दर्भ में सरकार द्वारा लिए गए महत्त्वपूर्ण निर्णयों का विश्लेषण कोरोना से सम्बंधित प्रमुख शब्दों की शब्दावली का समावेशभारत एवं उत्तर प्रदेश समसामयिकी का प्रस्तुतीकरण केंद्रीय बजट 2020-21 एवं आर्थिक समीक्षा 2019-20 का विश्लेषण 2500 से अधिक अभ्यास प्रश्नों का संकलन प्रारंभिक परीक्षा पर आधारित 10 मॉडल प्रश्न पत्रों का समावेश The book has been prepared by the Content Team of Oakbridge under the guidance of faculties.</t>
        </is>
      </c>
      <c r="I45" s="6" t="inlineStr">
        <is>
          <t>The book has been prepared by the Content Team of Oakbridge under the guidance of faculties.</t>
        </is>
      </c>
      <c r="J45" s="4" t="n">
        <v>1</v>
      </c>
      <c r="K45" s="4" t="inlineStr">
        <is>
          <t>Hindi</t>
        </is>
      </c>
      <c r="L45" s="4" t="inlineStr">
        <is>
          <t>PB</t>
        </is>
      </c>
      <c r="M45" s="6" t="inlineStr">
        <is>
          <t>India</t>
        </is>
      </c>
      <c r="N45" s="20" t="n">
        <v>44075</v>
      </c>
      <c r="O45" s="4" t="n">
        <v>338</v>
      </c>
      <c r="P45" s="44" t="n">
        <v>345</v>
      </c>
      <c r="Q45" s="6" t="n">
        <v>24</v>
      </c>
      <c r="R45" s="6" t="n">
        <v>16</v>
      </c>
      <c r="S45" s="6" t="n">
        <v>2.5</v>
      </c>
      <c r="T45" s="6" t="n">
        <v>650</v>
      </c>
    </row>
    <row r="46" ht="20.1" customHeight="1">
      <c r="A46" s="6" t="n">
        <v>45</v>
      </c>
      <c r="B46" s="4" t="inlineStr">
        <is>
          <t>Tax</t>
        </is>
      </c>
      <c r="C46" s="4" t="inlineStr">
        <is>
          <t>OakBridge</t>
        </is>
      </c>
      <c r="D46" s="10" t="n">
        <v>9789389176605</v>
      </c>
      <c r="E46" s="10" t="n">
        <v>9389176603</v>
      </c>
      <c r="F46" s="5" t="inlineStr">
        <is>
          <t>S Krishnan</t>
        </is>
      </c>
      <c r="G46" s="4" t="inlineStr">
        <is>
          <t>Investing in Indian &amp; Foreign Start-Up Companies</t>
        </is>
      </c>
      <c r="H46" s="6" t="inlineStr">
        <is>
          <t>Investing in Indian &amp; Foreign Start-up Companies provides an overview of the regulatory framework in India for direct and indirect investment through funds, in Indian and foreign start-up companies. This handbook explains, in a simple language, the incentives to investors investing in a start-up company in India, the various benefits enjoyed by a DPIIT registered start-up company, the income tax impact on Indian start-up companies and on investors at the time of investing and sale or transfer of securities. Keeping in view the foreign investments that Indian start-ups continue to attract, the trend of Indian start-up companies expanding their operations outside India and Indians investing in foreign start-ups, this handbook also examines the foreign exchange regulatory regime in India as well as the income tax consequences. The handbook elucidates the applicable regulations for issue of ESOPs, sweat equity shares and shares on a preferential basis; and the income tax consequences on the company and its employees, directors, consultants and advisors on such allotment.  The year 2019 witnessed significant changes in the Income-tax law and revamping of the Foreign Direct Investment regulations in India. This 2nd edition incorporates these changes and its impact on start-ups as well. This handbook is presented in a Question and Answer format to help investors, start-up entrepreneurs and the various stakeholders understand the regulatory regime easily and use it as a reference guide. This handbook will be useful to angel investors, angel funds, general investors, entrepreneurs, start-up entities, as well as employees, advisors, and consultants of start-up companies. About the Author: S Krishnan is an international tax professional providing tax advisory services to family owned funds, angel funds &amp; start-up companies.</t>
        </is>
      </c>
      <c r="I46" s="6" t="inlineStr">
        <is>
          <t>S Krishnan is an international tax professional providing tax advisory services to family owned funds, angel funds &amp; start-up companies.</t>
        </is>
      </c>
      <c r="J46" s="4" t="n">
        <v>2</v>
      </c>
      <c r="K46" s="4" t="inlineStr">
        <is>
          <t>English</t>
        </is>
      </c>
      <c r="L46" s="4" t="inlineStr">
        <is>
          <t>PB</t>
        </is>
      </c>
      <c r="M46" s="6" t="inlineStr">
        <is>
          <t>India</t>
        </is>
      </c>
      <c r="N46" s="20" t="n">
        <v>44075</v>
      </c>
      <c r="O46" s="4" t="n">
        <v>380</v>
      </c>
      <c r="P46" s="44" t="n">
        <v>795</v>
      </c>
      <c r="Q46" s="6" t="n">
        <v>24</v>
      </c>
      <c r="R46" s="6" t="n">
        <v>18.5</v>
      </c>
      <c r="S46" s="6" t="n">
        <v>2.5</v>
      </c>
      <c r="T46" s="6" t="n">
        <v>400</v>
      </c>
    </row>
    <row r="47" ht="20.1" customHeight="1">
      <c r="A47" s="6" t="n">
        <v>46</v>
      </c>
      <c r="B47" s="4" t="inlineStr">
        <is>
          <t>Law</t>
        </is>
      </c>
      <c r="C47" s="4" t="inlineStr">
        <is>
          <t>OakBridge</t>
        </is>
      </c>
      <c r="D47" s="10" t="n">
        <v>9789389176667</v>
      </c>
      <c r="E47" s="10" t="n">
        <v>9389176662</v>
      </c>
      <c r="F47" s="5" t="inlineStr">
        <is>
          <t>Udayan Mukerji 
R K Naroola</t>
        </is>
      </c>
      <c r="G47" s="4" t="inlineStr">
        <is>
          <t>Jurisprudence of Privacy</t>
        </is>
      </c>
      <c r="H47" s="6" t="inlineStr">
        <is>
          <t>Jurisprudence of Privacy traces the evolution of the concept of privacy from its narrowest possible connotation to its ever-expanding dimensions in this age of technology advancements. The authors have delved into the philosophical as well as the legal aspects relating to privacy across different jurisdictions and brought it to bear upon the developments in India. In the process, the reader will witness how privacy has evolved into a fundamental right, under the Indian Constitution as also in other countries, from merely being a common law right exercisable under tort law. The exposition on the various typologies of privacy will help the reader contextualize this transformation of the right to privacy. The authors also postulate in the concluding chapter about Privacy being the ‘Grundnorm’ which serves as the fountainhead for normative systems, legal or moral. Data Privacy, an essential aspect of the right to privacy, has been discussed in detail in the light of landmark judicial decisions in Puttaswamy and Aadhar cases and the legislative framework in India, including the pending Personal Data Protection Bill. The conflict arising between individual rights and national interests owing to bulk interception of data has been analysed meticulously and possible safeguards that must be instituted in law to avoid arbitrary violation have been delineated. The book aims to be a ready reference on the subject for law practitioners, judges, policy makers, students and researchers.</t>
        </is>
      </c>
      <c r="I47" s="6" t="inlineStr">
        <is>
          <t>Udayan Mukerji is a retired IPS officer and a practicing advocate with specialization in criminal matters, torts, writ petitions, arbitration and contracts. &lt;b&gt;R K Naroola is a leading legal practitioner and consultant with over 36 years of experience in advising and representing corporate and individual clients. He has acquired highly specialised experience in Collaborations, Joint Ventures, Banking, Industrial Relations, Labour Law, International Financial Institutions.</t>
        </is>
      </c>
      <c r="J47" s="4" t="n">
        <v>1</v>
      </c>
      <c r="K47" s="4" t="inlineStr">
        <is>
          <t>English</t>
        </is>
      </c>
      <c r="L47" s="4" t="inlineStr">
        <is>
          <t>PB</t>
        </is>
      </c>
      <c r="M47" s="6" t="inlineStr">
        <is>
          <t>India</t>
        </is>
      </c>
      <c r="N47" s="20" t="n">
        <v>44105</v>
      </c>
      <c r="O47" s="4" t="n">
        <v>352</v>
      </c>
      <c r="P47" s="44" t="n">
        <v>795</v>
      </c>
      <c r="Q47" s="6" t="n">
        <v>24</v>
      </c>
      <c r="R47" s="6" t="n">
        <v>18.5</v>
      </c>
      <c r="S47" s="6" t="n">
        <v>2.5</v>
      </c>
      <c r="T47" s="6" t="n">
        <v>450</v>
      </c>
    </row>
    <row r="48" ht="20.1" customHeight="1">
      <c r="A48" s="6" t="n">
        <v>47</v>
      </c>
      <c r="B48" s="4" t="inlineStr">
        <is>
          <t>Academic</t>
        </is>
      </c>
      <c r="C48" s="4" t="inlineStr">
        <is>
          <t>Edge</t>
        </is>
      </c>
      <c r="D48" s="10" t="n">
        <v>9789389176650</v>
      </c>
      <c r="E48" s="10" t="n">
        <v>9389176654</v>
      </c>
      <c r="F48" s="5" t="inlineStr">
        <is>
          <t>Mohan Krishnamurthy</t>
        </is>
      </c>
      <c r="G48" s="4" t="inlineStr">
        <is>
          <t>GES Periodos Vol II:  Indian, Human and Physical Geography</t>
        </is>
      </c>
      <c r="H48" s="6" t="inlineStr">
        <is>
          <t>Ges Periodos Volume II  is a comprehensive book on Indian, Human and Physical Geography. It is written for the aspirants of Civil Services and State Services Examinations. It will also be useful for the students and teachers of Geography at undergraduate and postgraduate levels in different universities of Indian and abroad. Starting from the physical geological features of India, the book delves into the human and economic geography of India and the world. The book is rich in images and illustrations for facilitating a better understanding of the topics.Key features: -Provides special chapter on contemporary issues like rainwater harvesting, waste management and pollution among others-Comprises boxes and tables for incorporating additional information associated with the topics-Provides previous years’ questions on Geography from UPSC preliminary examination (1995-2019)-Exclusive chapter on contemporary topics-Online support for guidance on complex topics</t>
        </is>
      </c>
      <c r="I48" s="6" t="inlineStr">
        <is>
          <t>Mohan, aka nomad man, is a geophysicist on paper, with a heart full of wander lust. He has been a travel geek since his school days. Till date, he is known to have carried out expeditions to destinations off the beaten path; he is a man full of stories. He is a path finder and hates being confined to an office. With truckloads of the ‘never-give-up’ spirit, whenever grounded, he loves to teach, inspire students, guide university graduates across the world and civil service aspirants in India; he has been instrumental in creating numerous civil servants in India in the past decade. In his free time, you can find him reading on the beach, hiking up a mountain or exploring uninhabited places.</t>
        </is>
      </c>
      <c r="J48" s="4" t="n">
        <v>1</v>
      </c>
      <c r="K48" s="4" t="inlineStr">
        <is>
          <t>English</t>
        </is>
      </c>
      <c r="L48" s="4" t="inlineStr">
        <is>
          <t>PB</t>
        </is>
      </c>
      <c r="M48" s="6" t="inlineStr">
        <is>
          <t>India</t>
        </is>
      </c>
      <c r="N48" s="20" t="n">
        <v>44136</v>
      </c>
      <c r="O48" s="4" t="n">
        <v>590</v>
      </c>
      <c r="P48" s="44" t="n">
        <v>595</v>
      </c>
      <c r="Q48" s="6" t="n">
        <v>24</v>
      </c>
      <c r="R48" s="6" t="n">
        <v>16</v>
      </c>
      <c r="S48" s="6" t="n">
        <v>2.5</v>
      </c>
      <c r="T48" s="6" t="n">
        <v>1300</v>
      </c>
    </row>
    <row r="49" ht="20.1" customHeight="1">
      <c r="A49" s="6" t="n">
        <v>48</v>
      </c>
      <c r="B49" s="4" t="inlineStr">
        <is>
          <t>Academic</t>
        </is>
      </c>
      <c r="C49" s="4" t="inlineStr">
        <is>
          <t>Edge</t>
        </is>
      </c>
      <c r="D49" s="10" t="inlineStr">
        <is>
          <t xml:space="preserve"> 9789389176698</t>
        </is>
      </c>
      <c r="E49" s="10" t="n">
        <v>9389176697</v>
      </c>
      <c r="F49" s="5" t="inlineStr">
        <is>
          <t>Venkata Mohan</t>
        </is>
      </c>
      <c r="G49" s="4" t="inlineStr">
        <is>
          <t xml:space="preserve">Cultural Anthropology </t>
        </is>
      </c>
      <c r="H49" s="6" t="inlineStr">
        <is>
          <t>Cultural Anthropology is a book written for the aspirants of Civil Services (Main) examination. It will also help the aspirants of various states services examinations. The book introduces the students to cultural anthropology by covering research methods, gender-based issues, economic and political organisations and religion. It provides a detailed account of the evolution of various institutions of the society over the period. It also delves deep into the interrelation among these institutions and deals with the status of these institutions and the social change that is taking place. The book is embedded with many India-related examples to enhance the understanding of the students. Key Features-Presents an introductory chapter on meaning and scope of Anthropology and its branches-Incorporates details on dynamic issues like homosexuality, problems of transgenders and feminism-Provides chapter-wise practice questions for self-assessment-Also useful for the students of Sociology optional</t>
        </is>
      </c>
      <c r="I49" s="6" t="inlineStr">
        <is>
          <t>Venkata Mohan is a B.Tech from IIT Madras. He is the author of multiple books on the subjects like sociology and ethics. He has also penned down other books for general readers. He has been guiding the aspirants of Civil Services for several years. Under his guidance, many students have successfully cracked the Civil Services examination.</t>
        </is>
      </c>
      <c r="J49" s="4" t="n">
        <v>1</v>
      </c>
      <c r="K49" s="4" t="inlineStr">
        <is>
          <t>English</t>
        </is>
      </c>
      <c r="L49" s="4" t="inlineStr">
        <is>
          <t>PB</t>
        </is>
      </c>
      <c r="M49" s="6" t="inlineStr">
        <is>
          <t>India</t>
        </is>
      </c>
      <c r="N49" s="20" t="n">
        <v>44166</v>
      </c>
      <c r="O49" s="4" t="n">
        <v>246</v>
      </c>
      <c r="P49" s="44" t="n">
        <v>250</v>
      </c>
      <c r="Q49" s="6" t="n">
        <v>24</v>
      </c>
      <c r="R49" s="6" t="n">
        <v>16</v>
      </c>
      <c r="S49" s="6" t="n">
        <v>2.5</v>
      </c>
      <c r="T49" s="6" t="n">
        <v>300</v>
      </c>
    </row>
    <row r="50" ht="20.1" customHeight="1">
      <c r="A50" s="6" t="n">
        <v>49</v>
      </c>
      <c r="B50" s="4" t="inlineStr">
        <is>
          <t>Law</t>
        </is>
      </c>
      <c r="C50" s="4" t="inlineStr">
        <is>
          <t>OakBridge</t>
        </is>
      </c>
      <c r="D50" s="10" t="n">
        <v>9789389176704</v>
      </c>
      <c r="E50" s="10" t="n">
        <v>9389176700</v>
      </c>
      <c r="F50" s="5" t="inlineStr">
        <is>
          <t>N Vijayaraghavan</t>
        </is>
      </c>
      <c r="G50" s="4" t="inlineStr">
        <is>
          <t>Constitution and its Making</t>
        </is>
      </c>
      <c r="H50" s="6" t="inlineStr">
        <is>
          <t>Constitution and its Making  takes a peek into the history of the making of the Indian Constitution, on its 71st birthday. While in the USA, their Founders are revered as demigods and tomes have piled up over 2 centuries and continue to, in India, our Constituent Assembly, its members- 299 of them- and the Debates- over 3 years- they had engaged in, have largely ‘remained in wraps’, to the ordinary folks, as Justice V R Krishna Iyer put it.  With intent to catch the laymen along with the lawmen, the author has gone anecdotal, with nuggets and vignettes of rare and unknown vintage. How many of us know that it was Prem Behari Narain Raizada, Delhi who hand wrote the two copies of Constitution in English and Hindi; and he laid two conditions to Jawaharlal Nehru, who approached him: he would affix his signature at the end of each page and on the last pages of the two copies, he would write his grandfather’s name, in obeisance, for it was he who brought him up, after Raizada was orphaned early. While ours has 395 Articles and has undergone 103 amendments in 70 years, and is the longest, the US’ has 7 Articles and has undergone just 27 amendments in over 233 years. Nandalal Bose and his Shanthiniketan team had illuminated the 2 copies with 22 illustrations on India’s 4000 plus years old civilisational journey. And so many more fascinating facts of delightful melody. The author has brought to light the stellar contributions of select members of the Constituent Assembly- particularly, the inspiring role of women members, hitherto unfocused. And why the Constituent Assembly debates matter and how they may need to be read.  About the Author N Vijayaraghavan is a practising Advocate, Madras High Court, with over 3 decades of experience. He has authored several books on motor &amp; marine insurance and has been a resource person with TN Judicial Academy and the National Judicial Academy, Bhopal.</t>
        </is>
      </c>
      <c r="I50" s="6" t="inlineStr">
        <is>
          <t xml:space="preserve"> N Vijayaraghavan is a practising Advocate, Madras High Court, with over 3 decades of experience. He has authored several books on motor &amp; marine insurance and has been a resource person with TN Judicial Academy and the National Judicial Academy, Bhopal.</t>
        </is>
      </c>
      <c r="J50" s="4" t="n">
        <v>1</v>
      </c>
      <c r="K50" s="4" t="inlineStr">
        <is>
          <t>English</t>
        </is>
      </c>
      <c r="L50" s="4" t="inlineStr">
        <is>
          <t>PB</t>
        </is>
      </c>
      <c r="M50" s="6" t="inlineStr">
        <is>
          <t>India</t>
        </is>
      </c>
      <c r="N50" s="20" t="n">
        <v>44166</v>
      </c>
      <c r="O50" s="4" t="n">
        <v>236</v>
      </c>
      <c r="P50" s="44" t="n">
        <v>495</v>
      </c>
      <c r="Q50" s="6" t="n">
        <v>24</v>
      </c>
      <c r="R50" s="6" t="n">
        <v>18.5</v>
      </c>
      <c r="S50" s="6" t="n">
        <v>2.5</v>
      </c>
      <c r="T50" s="6" t="n">
        <v>500</v>
      </c>
    </row>
    <row r="51" ht="20.1" customHeight="1">
      <c r="A51" s="6" t="n">
        <v>50</v>
      </c>
      <c r="B51" s="4" t="inlineStr">
        <is>
          <t>Academic</t>
        </is>
      </c>
      <c r="C51" s="4" t="inlineStr">
        <is>
          <t>Edge</t>
        </is>
      </c>
      <c r="D51" s="10" t="n">
        <v>9789391032630</v>
      </c>
      <c r="E51" s="10" t="inlineStr">
        <is>
          <t>939103263X</t>
        </is>
      </c>
      <c r="F51" s="5" t="inlineStr">
        <is>
          <t>OakBridge</t>
        </is>
      </c>
      <c r="G51" s="4" t="inlineStr">
        <is>
          <t>Previous Years' Solved Papers - Psychology Paper 1</t>
        </is>
      </c>
      <c r="H51" s="6" t="inlineStr">
        <is>
          <t xml:space="preserve">Previous Year’s Solved Papers-Psychology Paper I is a comprehensive text specifically aimed at the aspirants of the Civil Services Examination. It will also be useful for those appearing in various civil services examinations. The book begins with an insight into the methodology of writing psychology answers and strategies (optional). It illustrates the use of Bloom's Taxonomy of Critical Thinking to reach at an answer or conclusion. The book contains answers for Psychology Paper I of Civil Services Examination (Main) from 2015 to 2022, and trend analysis of last three years for Psychology Paper I of Civil Services Examination (Main).
This book is a first-of-its-kind attempt to provide a single book with brevity and simplicity that ease the Civil Services preparation journey of aspirants.
Key Features;    •	Provides solved papers of Psychology Paper I of Civil Services (Main) Examination from 2015 to 2022
•	Insights on Answer Writing Methodology and Strategies
•	Illustrates the use of Bloom's Taxonomy for critical thinking
•	Contains Trend Analysis of last three years for Psychology Paper I of Civil Services (Main) Examination. •	Mapped to the New Syllabus of UPSC      </t>
        </is>
      </c>
      <c r="I51" s="6" t="inlineStr">
        <is>
          <t>Developed by OakBridge content team under the guidance of subject matter experts specialising in Psychology.</t>
        </is>
      </c>
      <c r="J51" s="4" t="n">
        <v>1</v>
      </c>
      <c r="K51" s="4" t="inlineStr">
        <is>
          <t>English</t>
        </is>
      </c>
      <c r="L51" s="4" t="inlineStr">
        <is>
          <t>PB</t>
        </is>
      </c>
      <c r="M51" s="6" t="inlineStr">
        <is>
          <t>India</t>
        </is>
      </c>
      <c r="N51" s="20" t="n">
        <v>44197</v>
      </c>
      <c r="O51" s="4" t="n">
        <v>154</v>
      </c>
      <c r="P51" s="44" t="n">
        <v>295</v>
      </c>
      <c r="Q51" s="6" t="n">
        <v>24</v>
      </c>
      <c r="R51" s="6" t="n">
        <v>18.5</v>
      </c>
      <c r="S51" s="6" t="n">
        <v>2.5</v>
      </c>
      <c r="T51" s="6" t="n">
        <v>300</v>
      </c>
    </row>
    <row r="52" ht="20.1" customHeight="1">
      <c r="A52" s="6" t="n">
        <v>51</v>
      </c>
      <c r="B52" s="4" t="inlineStr">
        <is>
          <t>Law</t>
        </is>
      </c>
      <c r="C52" s="4" t="inlineStr">
        <is>
          <t>OakBridge</t>
        </is>
      </c>
      <c r="D52" s="10" t="n">
        <v>9789389176711</v>
      </c>
      <c r="E52" s="10" t="n">
        <v>9389176719</v>
      </c>
      <c r="F52" s="5" t="inlineStr">
        <is>
          <t>Chitra Narayan</t>
        </is>
      </c>
      <c r="G52" s="4" t="inlineStr">
        <is>
          <t>Mediation - Policy &amp; Practice</t>
        </is>
      </c>
      <c r="H52" s="6" t="inlineStr">
        <is>
          <t>India has seen a steady growth in policies on mediation – starting with the Arbitration and Conciliation Act, 1996, the amendments to the Civil Procedure Code for reference of pending civil cases to mediation, and more recently a mandate that parties attempt to resolve their disputes through mediation before filing cases relating to commercial disputes under the Commercial Courts Act. Mediation - Policy and Practice  examines the many aspects and benefits of mediation as an appropriate dispute resolution process in India. The book evaluates the use of mediation in dispute verticals, such as commercial disputes, matrimonial disputes, government disputes, disputes in insolvency resolution and intellectual property disputes, as well as the Singapore Convention on the enforcement of international commercial settlement agreements arising from mediation that recently came into force. It examines the concerns that arise in the policies and practice of mediation in India, and compares policies and important judgments of other countries on these issues. With the push for mediation as an integral part of the dispute resolution eco-system in India, and the establishment of new structures and intermediaries for dispute resolution, this book will be useful for practitioners of law, the academia, mediators, policy-makers and students of law, and for anyone concerned with effective resolution of disputes. About The Author: Chitra Narayan is a lawyer and mediator with over 25 years of experience. She is a founding Trustee of Foundation for Comprehensive Dispute Resolution (FCDR), Chennai, an initiative to mainstream mediation and provide mediation and conciliation services. She is an accredited mediator with the Tamil Nadu Mediation and Conciliation Centre, annexed to the Madras High Court.</t>
        </is>
      </c>
      <c r="I52" s="6" t="inlineStr">
        <is>
          <t>Chitra Narayan is a lawyer and mediator with over 25 years of experience. She is a founding Trustee of Foundation for Comprehensive Dispute Resolution (FCDR), Chennai, an initiative to mainstream mediation and provide mediation and conciliation services. She is an accredited mediator with the Tamil Nadu Mediation and Conciliation Centre, annexed to the Madras High Court.</t>
        </is>
      </c>
      <c r="J52" s="4" t="n">
        <v>1</v>
      </c>
      <c r="K52" s="4" t="inlineStr">
        <is>
          <t>English</t>
        </is>
      </c>
      <c r="L52" s="4" t="inlineStr">
        <is>
          <t>HB(DJ)</t>
        </is>
      </c>
      <c r="M52" s="6" t="inlineStr">
        <is>
          <t>India</t>
        </is>
      </c>
      <c r="N52" s="20" t="n">
        <v>44197</v>
      </c>
      <c r="O52" s="4" t="n">
        <v>516</v>
      </c>
      <c r="P52" s="44" t="n">
        <v>995</v>
      </c>
      <c r="Q52" s="6" t="n">
        <v>24</v>
      </c>
      <c r="R52" s="6" t="n">
        <v>16</v>
      </c>
      <c r="S52" s="6" t="n">
        <v>2.5</v>
      </c>
      <c r="T52" s="6" t="n">
        <v>270</v>
      </c>
    </row>
    <row r="53" ht="20.1" customHeight="1">
      <c r="A53" s="6" t="n">
        <v>52</v>
      </c>
      <c r="B53" s="4" t="inlineStr">
        <is>
          <t>Law</t>
        </is>
      </c>
      <c r="C53" s="4" t="inlineStr">
        <is>
          <t>OakBridge</t>
        </is>
      </c>
      <c r="D53" s="10" t="n">
        <v>9788194991151</v>
      </c>
      <c r="E53" s="10" t="n">
        <v>8194991153</v>
      </c>
      <c r="F53" s="5" t="inlineStr">
        <is>
          <t>Maj. Gen. Nilendra Kumar</t>
        </is>
      </c>
      <c r="G53" s="4" t="inlineStr">
        <is>
          <t>Rethinking Palkhivala</t>
        </is>
      </c>
      <c r="H53" s="6" t="inlineStr">
        <is>
          <t>Rethinking Palkhivala – Centenary Commemorative Volume has been conceptualised under the guidance of its Editor, Major General Nilendra Kumar, with the aim to celebrate the legend Nani A Palkhivala and his legacy &amp; lessons for the next century. This volume chronicles the year-long Birth Centenary Celebrations organized by Lex Consilium Foundation in honour of the late Mr Palkhivala. Through the lectures, panel discussions, debates, quizzes, and articles comprising this volume, readers will find that the words and thoughts of Mr Palkhivala are still relevant and provide guidance on the myriad contemporary issues and topics covered. This volume also aims to explore the diverse roles that Mr Palkhivala has played and his lasting impact on the landscape of Indian polity as a lawyer, an activist, a diplomat, and a jurist. The influence that Mr Palkhivala has had on the Indian Constitution through his interpretative skills, especially the Basic Structure Doctrine has left an indelible mark on the political and legal fabric of this country. The anecdotes and personal experiences shared by the contributors through the events that were organized as part of the Birth Centenary Celebrations are also included in this volume and will reveal the person Nani Palkhivala beyond his public image. This volume will be of value to law practitioners, tax professionals, judges, jurists, diplomats, academicians, policy makers, students of law and any person inclined to read about the Indian constitution. About the Author:Major General Nilendra Kumar has over 50 years of experience of working extensively across the legal space- from the government to educational institutions; international non-government agencies and corporates. He was awarded Ati Vishisht Seva Medal and Vishisht Seva Medal for his contributions as Judge Advocate General of the Indian Army, where he served for 28 years.</t>
        </is>
      </c>
      <c r="I53" s="6" t="inlineStr">
        <is>
          <t>Major General Nilendra Kumar has over 50 years of experience of working extensively across the legal space- from the government to educational institutions; international non-government agencies and corporates. He was awarded Ati Vishisht Seva Medal and Vishisht Seva Medal for his contributions as Judge Advocate General of the Indian Army, where he served for 28 years.</t>
        </is>
      </c>
      <c r="J53" s="4" t="n">
        <v>1</v>
      </c>
      <c r="K53" s="4" t="inlineStr">
        <is>
          <t>English</t>
        </is>
      </c>
      <c r="L53" s="4" t="inlineStr">
        <is>
          <t>HB(DJ)</t>
        </is>
      </c>
      <c r="M53" s="6" t="inlineStr">
        <is>
          <t>India</t>
        </is>
      </c>
      <c r="N53" s="20" t="n">
        <v>44197</v>
      </c>
      <c r="O53" s="4" t="n">
        <v>364</v>
      </c>
      <c r="P53" s="44" t="n">
        <v>995</v>
      </c>
      <c r="Q53" s="6" t="n">
        <v>24</v>
      </c>
      <c r="R53" s="6" t="n">
        <v>18.5</v>
      </c>
      <c r="S53" s="6" t="n">
        <v>2.5</v>
      </c>
      <c r="T53" s="6" t="n">
        <v>500</v>
      </c>
    </row>
    <row r="54" ht="20.1" customHeight="1">
      <c r="A54" s="6" t="n">
        <v>53</v>
      </c>
      <c r="B54" s="4" t="inlineStr">
        <is>
          <t>Law</t>
        </is>
      </c>
      <c r="C54" s="4" t="inlineStr">
        <is>
          <t>OakBridge</t>
        </is>
      </c>
      <c r="D54" s="10" t="n">
        <v>9788194991106</v>
      </c>
      <c r="E54" s="10" t="n">
        <v>8194991102</v>
      </c>
      <c r="F54" s="5" t="inlineStr">
        <is>
          <t>K Kannan</t>
        </is>
      </c>
      <c r="G54" s="4" t="inlineStr">
        <is>
          <t>Commentary on the Motor Vehicles Act</t>
        </is>
      </c>
      <c r="H54" s="6" t="inlineStr">
        <is>
          <t>Commentary on the Motor Vehicles Act provides a section-wise analysis on the Motor Vehicles Act, 1988 incorporating the impact of the Amendment Act of 2019. The book critically evaluates the working of the Act and its implementation by various stakeholders including adjudicating authorities, insurance companies, and enforcement agencies. The book aims to explain the provisions of the Act in a lucid manner by giving legislative history, judicial pronouncements, and the author’s interpretation. The author has also drawn a parallel with the erstwhile 1939 Act, wherever it offers valuable insights into the rationale and the genesis of the provisions in the 1988 Act. While presenting the definitive position of law drawing on Supreme Court and High Court judgments, the author also expresses his own view on some of these decisions which differs from the interpretation adopted by the court. The book captures the new concept of ‘aggregator’, a digital intermediary for a passenger to connect with a driver for the purpose of transportation and the Central Aggregator Guidelines. The author also discusses the ills that continue to plague the system such as fake licenses, poor performance of insurance companies in claim settlements, and fake claims and also recommends use of technology and other methods to address these concerns. The commentary will be useful to policy makers, judges, lawyers, enforcement agencies, academicians, and law students. The insurance industry will also find the book to be of interest to them especially in promoting the cause of settlements. About the Author:  K Kannan is a former judge of the Punjab and Haryana High Court and after his superannuation from Judicial Service in June 2016, served as Chairman of the Railway Claims Tribunal (RCT) at the Principal Bench at New Delhi, India which post he held till June 2019.</t>
        </is>
      </c>
      <c r="I54" s="6" t="inlineStr">
        <is>
          <t>K Kannan is a former judge of the Punjab and Haryana High Court and after his superannuation from Judicial Service in June 2016, served as Chairman of the Railway Claims Tribunal (RCT) at the Principal Bench at New Delhi, India which post he held till June 2019.</t>
        </is>
      </c>
      <c r="J54" s="4" t="n">
        <v>1</v>
      </c>
      <c r="K54" s="4" t="inlineStr">
        <is>
          <t>English</t>
        </is>
      </c>
      <c r="L54" s="4" t="inlineStr">
        <is>
          <t>HB</t>
        </is>
      </c>
      <c r="M54" s="6" t="inlineStr">
        <is>
          <t>India</t>
        </is>
      </c>
      <c r="N54" s="20" t="n">
        <v>44228</v>
      </c>
      <c r="O54" s="4" t="n">
        <v>892</v>
      </c>
      <c r="P54" s="44" t="n">
        <v>1495</v>
      </c>
      <c r="Q54" s="6" t="n">
        <v>21.5</v>
      </c>
      <c r="R54" s="6" t="n">
        <v>14</v>
      </c>
      <c r="S54" s="6" t="n">
        <v>2.5</v>
      </c>
      <c r="T54" s="6" t="n">
        <v>1500</v>
      </c>
    </row>
    <row r="55" ht="20.1" customHeight="1">
      <c r="A55" s="6" t="n">
        <v>54</v>
      </c>
      <c r="B55" s="4" t="inlineStr">
        <is>
          <t>Academic</t>
        </is>
      </c>
      <c r="C55" s="4" t="inlineStr">
        <is>
          <t>Edge</t>
        </is>
      </c>
      <c r="D55" s="10" t="n">
        <v>9788194991199</v>
      </c>
      <c r="E55" s="10" t="n">
        <v>8194991196</v>
      </c>
      <c r="F55" s="5" t="inlineStr">
        <is>
          <t>Smarak Swain &amp; Satyajeet Sahoo</t>
        </is>
      </c>
      <c r="G55" s="4" t="inlineStr">
        <is>
          <t>Ethical Leadership - Concepts and Cases on Ethics in Governance</t>
        </is>
      </c>
      <c r="H55" s="6" t="inlineStr">
        <is>
          <t>Ethical Leadership: Concepts and Cases on Ethics in Governance is an exceptional book that attempts to illustrate various concepts of Ethics and Morality with special reference to Bureaucracy and Administration. The book is meant for aspirants of Civil Services and State Services examinations. It will be of immense use to those pursing degree courses in Public Administration and Public Policy. The book starts with theoretical aspects of ethics and related concepts and seeks to provide understanding of ethics through thoughts and ideas of eminent personalities. It further delves deep in the application of ethics in public and private sector. It incorporates special section on uses and application of ethics in bureaucracy and governance. Written in a simple and lucid manner, the book will serve as an additional read on the subjects of Ethics and Morality. Apart from civil service aspirants, the book will also help Managers, Administrators and Professionals, in becoming an effective and ethical leader Key Features-Provides real life cases on ethics, sourced from lives of bureaucrats-Includes cases on Ethics in Judiciary and Surveillance-Incorporates analysis on unconventional ethical issues like bioethics, environmental ethics and ethics in journalism-Provides 50 practice questions on ethics and case studies based on it Smarak Swain graduated in has joined the Indian Revenue Service (IRS) in 2008. In the IncomeTax department, he has wide experience in the fields of corporate and business assessments, financial investigation, tax administration of charitable and religious trusts, and international taxation.Satyajeet Sahoo is a graduate from IIT Kharagpur. He had worked onnumerous projects on corporate governance during his MBA at IIM Indore. He is presently pursuing a PhD from IIT Kharagpur.</t>
        </is>
      </c>
      <c r="I55" s="6" t="inlineStr">
        <is>
          <t>Smarak Swain graduated in Electrical Engineering from the Indian Institute of Technology (IIT), Kharagpur in 2006 and has joined the Indian Revenue Service (IRS) in 2008. In the Income Tax department, he has wide experience in the fields of corporate and business assessments, financial investigation, tax administration of charitable and religious trusts, and international taxation.Satyajeet Sahoo is a graduate from IIT Kharagpur. He had worked on numerous projects on corporate governance during his MBA at IIM Indore. He is presently pursuing a PhD from IIT Kharagpur.</t>
        </is>
      </c>
      <c r="J55" s="4" t="n">
        <v>1</v>
      </c>
      <c r="K55" s="4" t="inlineStr">
        <is>
          <t>English</t>
        </is>
      </c>
      <c r="L55" s="4" t="inlineStr">
        <is>
          <t>PB</t>
        </is>
      </c>
      <c r="M55" s="6" t="inlineStr">
        <is>
          <t>India</t>
        </is>
      </c>
      <c r="N55" s="20" t="n">
        <v>44256</v>
      </c>
      <c r="O55" s="4" t="n">
        <v>460</v>
      </c>
      <c r="P55" s="44" t="n">
        <v>375</v>
      </c>
      <c r="Q55" s="6" t="n">
        <v>24</v>
      </c>
      <c r="R55" s="6" t="n">
        <v>16</v>
      </c>
      <c r="S55" s="6" t="n">
        <v>2.5</v>
      </c>
      <c r="T55" s="6" t="n">
        <v>400</v>
      </c>
    </row>
    <row r="56" ht="20.1" customHeight="1">
      <c r="A56" s="6" t="n">
        <v>55</v>
      </c>
      <c r="B56" s="4" t="inlineStr">
        <is>
          <t>Law</t>
        </is>
      </c>
      <c r="C56" s="4" t="inlineStr">
        <is>
          <t>OakBridge</t>
        </is>
      </c>
      <c r="D56" s="10" t="n">
        <v>9788194991120</v>
      </c>
      <c r="E56" s="10" t="n">
        <v>8194991129</v>
      </c>
      <c r="F56" s="5" t="inlineStr">
        <is>
          <t>V Sudhish Pai</t>
        </is>
      </c>
      <c r="G56" s="4" t="inlineStr">
        <is>
          <t>Justice M N Venkatachaliah - The Man &amp; The Judge</t>
        </is>
      </c>
      <c r="H56" s="6" t="inlineStr">
        <is>
          <t>Key Features (i) Biography of the 25th Chief Justice of India, Justice M N Venkatachaliah.(ii) Presents journey and evolution of the man who became a revered judge, whose legacy will continue to inspire generations to come.(iii) The book contains- (a) a comprehensive biographical sketch of Justice Venkatachaliah; - (b) editorial notes on most of his reported judgments in the Supreme Court and the High Court, and-(c) Select speeches and writings</t>
        </is>
      </c>
      <c r="I56" s="6" t="inlineStr">
        <is>
          <t>V Sudhish Pai is a distinguished lawyer and jurist, and an acclaimed author. His contribution to academics, particularly in the area of critical constitutional analysis, has been substantial and significant. He was a Visiting Chair Professor, Asutosh Mookerjee Chair in WBNUJS, Kolkata and is a resource person at the National Judicial Academy, Bhopal for continuing legal education for judges.</t>
        </is>
      </c>
      <c r="J56" s="4" t="n">
        <v>1</v>
      </c>
      <c r="K56" s="4" t="inlineStr">
        <is>
          <t>English</t>
        </is>
      </c>
      <c r="L56" s="4" t="inlineStr">
        <is>
          <t>HB(DJ)</t>
        </is>
      </c>
      <c r="M56" s="6" t="inlineStr">
        <is>
          <t>India</t>
        </is>
      </c>
      <c r="N56" s="20" t="n">
        <v>44287</v>
      </c>
      <c r="O56" s="4" t="n">
        <v>612</v>
      </c>
      <c r="P56" s="44" t="n">
        <v>995</v>
      </c>
      <c r="Q56" s="6" t="n">
        <v>24</v>
      </c>
      <c r="R56" s="6" t="n">
        <v>16</v>
      </c>
      <c r="S56" s="6" t="n">
        <v>2.5</v>
      </c>
      <c r="T56" s="6" t="n">
        <v>600</v>
      </c>
    </row>
    <row r="57" ht="20.1" customHeight="1">
      <c r="A57" s="6" t="n">
        <v>56</v>
      </c>
      <c r="B57" s="4" t="inlineStr">
        <is>
          <t>Tax</t>
        </is>
      </c>
      <c r="C57" s="4" t="inlineStr">
        <is>
          <t>OakBridge</t>
        </is>
      </c>
      <c r="D57" s="10" t="n">
        <v>9788194991175</v>
      </c>
      <c r="E57" s="10" t="inlineStr">
        <is>
          <t>819499117X</t>
        </is>
      </c>
      <c r="F57" s="5" t="inlineStr">
        <is>
          <t>Parthasarathi Shome</t>
        </is>
      </c>
      <c r="G57" s="4" t="inlineStr">
        <is>
          <t>Reimagining International Taxation</t>
        </is>
      </c>
      <c r="H57" s="6" t="inlineStr">
        <is>
          <t>Key Features (i) Perspective and opinions on challenges in international taxation and the need for reform. (ii) Covers wide range of topics including: -(a) tax considerations arising out of the global pandemic; -(b)international tax regime and global power shifts;  -(c) the need for a new international tax architecture;  -(d) ramifications of retrospective taxation; -(e) international consensus in matters of profit attribution, digital taxation,cryptocurrency, and source and nexus of income; and -(f) taxpayers’ charter. (iii) An international volume with contributions from tax experts and academicis from India, Argentina, UK, and Netherlands. (iv) Conceptualized and developed by ITRAF.</t>
        </is>
      </c>
      <c r="I57" s="6" t="inlineStr">
        <is>
          <t>Parthasarathi Shome is currently Chairman, ITRAF, Bengaluru, and Visiting Senior Fellow, London School of Economics. He was Adviser (Minister of State) to the Indian Finance Minister, and chaired India’s Tax Administration Reform Commission (TARC). He has held various positions, including Chief Economist, UK Revenue and Customs; Chief of Tax Policy, IMF; and Professor, American University, Washington DC. His work on GAAR and retrospective taxation is widely cited.</t>
        </is>
      </c>
      <c r="J57" s="4" t="n">
        <v>1</v>
      </c>
      <c r="K57" s="4" t="inlineStr">
        <is>
          <t>English</t>
        </is>
      </c>
      <c r="L57" s="4" t="inlineStr">
        <is>
          <t>HB(DJ)</t>
        </is>
      </c>
      <c r="M57" s="6" t="inlineStr">
        <is>
          <t>India</t>
        </is>
      </c>
      <c r="N57" s="20" t="n">
        <v>44287</v>
      </c>
      <c r="O57" s="4" t="n">
        <v>346</v>
      </c>
      <c r="P57" s="44" t="n">
        <v>1050</v>
      </c>
      <c r="Q57" s="6" t="n">
        <v>24</v>
      </c>
      <c r="R57" s="6" t="n">
        <v>18.5</v>
      </c>
      <c r="S57" s="6" t="n">
        <v>2.5</v>
      </c>
      <c r="T57" s="6" t="n">
        <v>650</v>
      </c>
    </row>
    <row r="58" ht="20.1" customHeight="1">
      <c r="A58" s="6" t="n">
        <v>57</v>
      </c>
      <c r="B58" s="4" t="inlineStr">
        <is>
          <t>Academic</t>
        </is>
      </c>
      <c r="C58" s="4" t="inlineStr">
        <is>
          <t>Edge</t>
        </is>
      </c>
      <c r="D58" s="10" t="n">
        <v>9788194991137</v>
      </c>
      <c r="E58" s="10" t="n">
        <v>8194991137</v>
      </c>
      <c r="F58" s="5" t="inlineStr">
        <is>
          <t>Nirbhay Sharma</t>
        </is>
      </c>
      <c r="G58" s="4" t="inlineStr">
        <is>
          <t>Indian Polity &amp; Governance</t>
        </is>
      </c>
      <c r="H58" s="6" t="inlineStr">
        <is>
          <t>#</t>
        </is>
      </c>
      <c r="I58" s="6" t="inlineStr">
        <is>
          <t>#</t>
        </is>
      </c>
      <c r="J58" s="4" t="n">
        <v>1</v>
      </c>
      <c r="K58" s="4" t="inlineStr">
        <is>
          <t>English</t>
        </is>
      </c>
      <c r="L58" s="4" t="inlineStr">
        <is>
          <t>PB</t>
        </is>
      </c>
      <c r="M58" s="6" t="inlineStr">
        <is>
          <t>India</t>
        </is>
      </c>
      <c r="N58" s="20" t="n">
        <v>44348</v>
      </c>
      <c r="O58" s="4" t="n">
        <v>816</v>
      </c>
      <c r="P58" s="44" t="n">
        <v>795</v>
      </c>
      <c r="Q58" s="6" t="n">
        <v>24</v>
      </c>
      <c r="R58" s="6" t="n">
        <v>16</v>
      </c>
      <c r="S58" s="6" t="n">
        <v>2.5</v>
      </c>
      <c r="T58" s="6" t="n">
        <v>600</v>
      </c>
    </row>
    <row r="59" ht="20.1" customHeight="1">
      <c r="A59" s="6" t="n">
        <v>58</v>
      </c>
      <c r="B59" s="4" t="inlineStr">
        <is>
          <t>Academic</t>
        </is>
      </c>
      <c r="C59" s="4" t="inlineStr">
        <is>
          <t>Edge</t>
        </is>
      </c>
      <c r="D59" s="10" t="n">
        <v>9789391032555</v>
      </c>
      <c r="E59" s="10" t="n">
        <v>9391032559</v>
      </c>
      <c r="F59" s="5" t="inlineStr">
        <is>
          <t>Udaybhan Singh and Garima Singh</t>
        </is>
      </c>
      <c r="G59" s="4" t="inlineStr">
        <is>
          <t>Arthvyavastha – Prashnottar Roop Mein</t>
        </is>
      </c>
      <c r="H59" s="6" t="inlineStr">
        <is>
          <t>अर्थव्यवस्था –प्रश्नोत्तर रूप में सिविल सेवा परीक्षा, राज्य सेवा परीक्षा, विश्वविद्यालय अनुदान आयोग एवं अन्य प्रतियोगी परीक्षा की तैयारी करने वाले अभ्यर्थियों की मांग पर लिखी गई एक उत्कृष्ट पुस्तक है | अर्थव्यवस्था की मौलिक संकल्पनाओं को एक नए प्रारूप में प्रस्तुत करने वाली इस पुस्तक में में सैद्धांतिक एवं व्यावहारिक दोनों पहलुओं पर प्रकाश डाला गया हैं जिससे कि अभ्यर्थियों में विषय के संदर्भ की सम्यक जानकारी उपलब्ध हो सके| प्रस्तुत पुस्तक जहां एक तरफ अर्थव्यवस्था के वैश्विक मुद्दों की चर्चा करती है तो दूसरी तरफ भारत सरकार द्वारा चलाई गई प्रमुख योजनाओं/कार्यक्रमों और नीतियों पर भी अध्ययन सामग्री प्रस्तुत करती है| इसमें भारतीय अर्थव्यवस्था के साथ-साथ वैश्विक अर्थव्यवस्था के विभिन्न पहलुओं को भी समाहित करने का प्रयास किया गया हैं, इसके अतिरिक्त अंतरराष्ट्रीय वित्तीय संस्थाएं, वैश्विक एवं क्षेत्रीय आर्थिक संगठनों पर भी प्रकाश डाला गया हैं| प्रमुख विशेषताएँ- अर्थव्यवस्था की बुनयादी अवधारणाओं के साथ-साथ विभिन्न पहलुओं की प्रश्नोत्तर रूप में प्रस्तुति - केंद्रीय बजट 2021-22 और आर्थिक समीक्षा 2020-21 के प्रमुख पहलुओं की जानकारी- वैश्विक एवं भारतीय अर्थव्यवस्था संबंधी मुद्दों का विश्लेषणात्मक अध्ययन - भारत सरकार द्वारा चलाई जा रही योजनाओं, नीतियों एवं कार्यक्रमों का समावेश</t>
        </is>
      </c>
      <c r="I59" s="6" t="inlineStr">
        <is>
          <t xml:space="preserve"> डॉ. उदयभान सिंह. NIEGS (National Institute of Economics and General Studies) तथा सामाजिक संस्था ‘आँखें’ के निदेशक हैं | साथ ही अर्थव्यवस्था परिदृश्य ‘आज और कल’ मासिक पत्रिका के सम्पादक है|  गरिमा सिंह एमएससी, एम.ए और बीएड शिक्षित हैं | मासिक पत्रिका ‘अर्थव्यवस्था परिदृश्य - आज और कल’ की उप-संपाद</t>
        </is>
      </c>
      <c r="J59" s="4" t="n">
        <v>1</v>
      </c>
      <c r="K59" s="4" t="inlineStr">
        <is>
          <t>Hindi</t>
        </is>
      </c>
      <c r="L59" s="4" t="inlineStr">
        <is>
          <t>PB</t>
        </is>
      </c>
      <c r="M59" s="6" t="inlineStr">
        <is>
          <t>India</t>
        </is>
      </c>
      <c r="N59" s="20" t="n">
        <v>44378</v>
      </c>
      <c r="O59" s="4" t="n">
        <v>582</v>
      </c>
      <c r="P59" s="44" t="n">
        <v>450</v>
      </c>
      <c r="Q59" s="6" t="n">
        <v>24</v>
      </c>
      <c r="R59" s="6" t="n">
        <v>16</v>
      </c>
      <c r="S59" s="6" t="n">
        <v>2.5</v>
      </c>
      <c r="T59" s="6" t="n">
        <v>300</v>
      </c>
    </row>
    <row r="60" ht="20.1" customHeight="1">
      <c r="A60" s="6" t="n">
        <v>59</v>
      </c>
      <c r="B60" s="4" t="inlineStr">
        <is>
          <t>Academic</t>
        </is>
      </c>
      <c r="C60" s="4" t="inlineStr">
        <is>
          <t>Edge</t>
        </is>
      </c>
      <c r="D60" s="10" t="n">
        <v>9789391032203</v>
      </c>
      <c r="E60" s="10" t="n">
        <v>9391032206</v>
      </c>
      <c r="F60" s="5" t="inlineStr">
        <is>
          <t>Rahul Garg</t>
        </is>
      </c>
      <c r="G60" s="4" t="inlineStr">
        <is>
          <t>Ethics and Morality : From Vice to Virtue</t>
        </is>
      </c>
      <c r="H60" s="6" t="inlineStr">
        <is>
          <t>Ethics and Morality : From Vice to Virtue is a text written for the aspirants of Civil Services Examination. It will also help students in the preparation of state services examinations.
The book attempts to build a foundational understanding of Ethics and its application in governance of the country. It recognises the interdisciplinary and dynamic nature of the subject and seeks to launch the reader into the space of ethical dilemmas. Starting from the application of ethics in human lives, the book delves deep into the role of ethics in civil services and public administration. It provides a detailed account of the learnings from the lives of great leaders and eminent personalities. It connects various developments taking place at national and international platforms with the concept and theory of ethics, thereby, giving room to aspirants to apply their understanding to the events around them, to circumstances and situations they study in newspaper and issues which affect them. Written in a simple and lucid language, the book is embedded with real-life examples, flowcharts and diagrams. 
Key Features:
- Connects theory and concepts of ethics with real-life examples from history, administration and current events
- Avoids complex jargons and terminologies to facilitate easy understanding 
- Contains stories from life of great leaders and thinkers and folklore which elucidate the concept as well as enrich answers
- Provides answer writing tips and trend analysis of General Studies Paper 4 of UPSC (main) Examination from the year 2013 to 2020
- Compiles previous years’ questions of Part A of Ethics paper from the year 2013 to 2020
- Embedded with flowchart and diagrams to augment the process of learning
- Integrates online support for additional reads</t>
        </is>
      </c>
      <c r="I60" s="6" t="inlineStr">
        <is>
          <t>Rahul Garg is an officer of Indian Civil Accounts Service (ICAS) and currently serving as Deputy Controller of Accounts in IT Division of PFMS. Formerly, he was also associated with Indian Railways after securing Rank 10 in UPSC IES Examination. Known for his thoughtfulness and analytical approach, he was awarded with ‘Best Debater’ award in NIFM Officer’s batch of 2017. He loves guiding the aspirants of Civil Services examination on the ethics and the various disciplines related to it.</t>
        </is>
      </c>
      <c r="J60" s="4" t="n">
        <v>1</v>
      </c>
      <c r="K60" s="4" t="inlineStr">
        <is>
          <t>English</t>
        </is>
      </c>
      <c r="L60" s="4" t="inlineStr">
        <is>
          <t>PB</t>
        </is>
      </c>
      <c r="M60" s="6" t="inlineStr">
        <is>
          <t>India</t>
        </is>
      </c>
      <c r="N60" s="20" t="n">
        <v>44378</v>
      </c>
      <c r="O60" s="4" t="n">
        <v>244</v>
      </c>
      <c r="P60" s="44" t="n">
        <v>295</v>
      </c>
      <c r="Q60" s="6" t="n">
        <v>24</v>
      </c>
      <c r="R60" s="6" t="n">
        <v>18.5</v>
      </c>
      <c r="S60" s="6" t="n">
        <v>2.5</v>
      </c>
      <c r="T60" s="6" t="n">
        <v>300</v>
      </c>
    </row>
    <row r="61" ht="20.1" customHeight="1">
      <c r="A61" s="6" t="n">
        <v>60</v>
      </c>
      <c r="B61" s="4" t="inlineStr">
        <is>
          <t>Academic</t>
        </is>
      </c>
      <c r="C61" s="4" t="inlineStr">
        <is>
          <t>Edge</t>
        </is>
      </c>
      <c r="D61" s="10" t="n">
        <v>9789391032128</v>
      </c>
      <c r="E61" s="10" t="inlineStr">
        <is>
          <t>-</t>
        </is>
      </c>
      <c r="F61" s="5" t="inlineStr">
        <is>
          <t>Alok S Jha</t>
        </is>
      </c>
      <c r="G61" s="4" t="inlineStr">
        <is>
          <t>Vishwa Ka Itihaas</t>
        </is>
      </c>
      <c r="H61" s="6" t="inlineStr">
        <is>
          <t>विश्व का इतिहास – एक सारगर्भित अध्ययन, सिविल सेवा मुख्य परीक्षा हेतु लिखी गयी पुस्तक है | यह पुस्तक विभिन्न राज्यों की सिविल सेवा परीक्षा में भी उपयोगी होगी | सिविल सेवा मुख्य परीक्षा के पाठ्यक्रम को ध्यान में रखते हुए, इस पुस्तक में अट्ठारहवीं शताब्दी की औद्योगिक क्रांति से लेकर विश्व स्तर पर हो रही वर्त्तमान घटनाओं तक का समुचित संकलन किया गया है| साथ ही विश्व पटल की प्रमुख पहलुओं, जैसे की, इटली एवं जर्मनी का एकीकरण, प्रथम विश्व युद्ध, शीतयुद्ध, सोवियत संघ का पतन एवं नयी वैश्विक व्यवस्था की समुचित जानकारी भी प्रदान की गई है | प्रांजल शैली में लिखी गई यह पुस्तक, तथ्यों एवं अवधारणाओं का अद्भुत संयोजन है, जो सिविल सेवा मुख्य परीक्षा में छात्रों के लिए मददगार साबित होगी | प्रमुख विशेषताएँ 18वीं शताब्दी से 21वीं शताब्दी तक के प्रसंगों की सारगर्भित प्रस्तुति एवं विवेचन विश्व पटल पर घटित आधुनिक प्रसंगों जैसे अरब क्रांति, आतंकवाद के विरुद्ध युद्ध आदि का संकलन अध्यायवार विगत वर्षों के प्रश्नों के साथ मुख्य परीक्षा हेतु अभ्यास प्रश्नों की प्रस्तुति बेहतर समझ हेतु सहज भाषा एवं यथास्थान बिन्दुवार लेखन पद्धति का प्रयोग अलोक झा AAI के संस्थापक निदेशक हैं | इन्होंने दिल्ली विश्वविद्यालय से इतिहास में स्नातक के पश्चात् लॉ की डिग्री प्राप्त की है | ये विगत 10 वर्षों से सिविल सेवा परीक्षा हेतु इतिहास, कला एवं संस्कृति जैसे विषयों में छात्रों का मार्गदर्शन करते आ रहे हैं | कला एवं संस्कृति पर प्रकाशित इनकी पुस्तक छात्रों के बीच बहुत लोकप्रिय है |</t>
        </is>
      </c>
      <c r="I61" s="6" t="inlineStr">
        <is>
          <t>Alok S Jha is the founding director of AAI. He has graduated from Delhi University in history. He has also pursued LLB from Delhi University. He has been guiding students in subjects like history and art &amp; culture for civil services and state services examinations for the last 13 years.</t>
        </is>
      </c>
      <c r="J61" s="4" t="n">
        <v>2</v>
      </c>
      <c r="K61" s="4" t="inlineStr">
        <is>
          <t>Hindi</t>
        </is>
      </c>
      <c r="L61" s="4" t="inlineStr">
        <is>
          <t>PB</t>
        </is>
      </c>
      <c r="M61" s="6" t="inlineStr">
        <is>
          <t>India</t>
        </is>
      </c>
      <c r="N61" s="20" t="n">
        <v>44378</v>
      </c>
      <c r="O61" s="4" t="n">
        <v>340</v>
      </c>
      <c r="P61" s="44" t="n">
        <v>375</v>
      </c>
      <c r="Q61" s="6" t="n">
        <v>24</v>
      </c>
      <c r="R61" s="6" t="n">
        <v>18.5</v>
      </c>
      <c r="S61" s="6" t="n">
        <v>2.5</v>
      </c>
      <c r="T61" s="6" t="n">
        <v>600</v>
      </c>
    </row>
    <row r="62" ht="20.1" customHeight="1">
      <c r="A62" s="6" t="n">
        <v>61</v>
      </c>
      <c r="B62" s="4" t="inlineStr">
        <is>
          <t>Academic</t>
        </is>
      </c>
      <c r="C62" s="4" t="inlineStr">
        <is>
          <t>Edge</t>
        </is>
      </c>
      <c r="D62" s="10" t="n">
        <v>9789391032005</v>
      </c>
      <c r="E62" s="10" t="n">
        <v>9391032001</v>
      </c>
      <c r="F62" s="5" t="inlineStr">
        <is>
          <t>OakBridge</t>
        </is>
      </c>
      <c r="G62" s="4" t="inlineStr">
        <is>
          <t xml:space="preserve">UPPSC Samanya Adhyayan Prashna Patra-1 </t>
        </is>
      </c>
      <c r="H62" s="6" t="inlineStr">
        <is>
          <t>It is a book meant for the aspirants of UPPSC main examination. It covers topics from the syllabus of General Studies Paper 1 (History, culture, geography and Indian society) of the new syllabus of UPPSC state service exam. Model papers are given for self-assessment. This book is the first part of the entire series for UPPSC main examination, which comprises a total of 4 booklets.The book has been prepared by the Content Team of Oakbridge under the guidance of faculties.</t>
        </is>
      </c>
      <c r="I62" s="6" t="inlineStr">
        <is>
          <t>The book has been prepared by the Content Team of Oakbridge under the guidance of faculties.</t>
        </is>
      </c>
      <c r="J62" s="4" t="n">
        <v>3</v>
      </c>
      <c r="K62" s="4" t="inlineStr">
        <is>
          <t>English</t>
        </is>
      </c>
      <c r="L62" s="4" t="inlineStr">
        <is>
          <t>PB</t>
        </is>
      </c>
      <c r="M62" s="6" t="inlineStr">
        <is>
          <t>India</t>
        </is>
      </c>
      <c r="N62" s="20" t="n">
        <v>44409</v>
      </c>
      <c r="O62" s="4" t="n">
        <v>395</v>
      </c>
      <c r="P62" s="44" t="n">
        <v>395</v>
      </c>
      <c r="Q62" s="6" t="n">
        <v>24</v>
      </c>
      <c r="R62" s="6" t="n">
        <v>18.5</v>
      </c>
      <c r="S62" s="6" t="n">
        <v>2.5</v>
      </c>
      <c r="T62" s="6" t="n">
        <v>600</v>
      </c>
    </row>
    <row r="63" ht="20.1" customHeight="1">
      <c r="A63" s="6" t="n">
        <v>62</v>
      </c>
      <c r="B63" s="4" t="inlineStr">
        <is>
          <t>Academic</t>
        </is>
      </c>
      <c r="C63" s="4" t="inlineStr">
        <is>
          <t>Edge</t>
        </is>
      </c>
      <c r="D63" s="10" t="n">
        <v>9789391032012</v>
      </c>
      <c r="E63" s="10" t="inlineStr">
        <is>
          <t>939103201X</t>
        </is>
      </c>
      <c r="F63" s="5" t="inlineStr">
        <is>
          <t>OakBridge</t>
        </is>
      </c>
      <c r="G63" s="4" t="inlineStr">
        <is>
          <t>UPPSC Samanya Adhyayan Prashna Patra-2</t>
        </is>
      </c>
      <c r="H63" s="6" t="inlineStr">
        <is>
          <t>It is a book meant for the aspirants of UPPSC main examination. It covers topics from the syllabus of General Studies Paper 2 (Constitution, Governance and International Relations) of the new syllabus of UPPSC state service exam. Model papers are given for self-assessment. This book is the second part of the entire series for UPPSC main examination, which comprises a total of 4 booklets.The book has been prepared by the Content Team of Oakbridge under the guidance of faculties.</t>
        </is>
      </c>
      <c r="I63" s="6" t="inlineStr">
        <is>
          <t>The book has been prepared by the Content Team of Oakbridge under the guidance of faculties.</t>
        </is>
      </c>
      <c r="J63" s="4" t="n">
        <v>3</v>
      </c>
      <c r="K63" s="4" t="inlineStr">
        <is>
          <t>English</t>
        </is>
      </c>
      <c r="L63" s="4" t="inlineStr">
        <is>
          <t>PB</t>
        </is>
      </c>
      <c r="M63" s="6" t="inlineStr">
        <is>
          <t>India</t>
        </is>
      </c>
      <c r="N63" s="20" t="n">
        <v>44409</v>
      </c>
      <c r="O63" s="4" t="n">
        <v>395</v>
      </c>
      <c r="P63" s="44" t="n">
        <v>395</v>
      </c>
      <c r="Q63" s="6" t="n">
        <v>24</v>
      </c>
      <c r="R63" s="6" t="n">
        <v>18.5</v>
      </c>
      <c r="S63" s="6" t="n">
        <v>2.5</v>
      </c>
      <c r="T63" s="6" t="n">
        <v>700</v>
      </c>
    </row>
    <row r="64" ht="20.1" customHeight="1">
      <c r="A64" s="6" t="n">
        <v>63</v>
      </c>
      <c r="B64" s="4" t="inlineStr">
        <is>
          <t>Academic</t>
        </is>
      </c>
      <c r="C64" s="4" t="inlineStr">
        <is>
          <t>Edge</t>
        </is>
      </c>
      <c r="D64" s="10" t="n">
        <v>9789391032029</v>
      </c>
      <c r="E64" s="10" t="n">
        <v>9391032028</v>
      </c>
      <c r="F64" s="5" t="inlineStr">
        <is>
          <t>OakBridge</t>
        </is>
      </c>
      <c r="G64" s="4" t="inlineStr">
        <is>
          <t xml:space="preserve">UPPSC Samanya Adhyayan Prashna Patra-3 </t>
        </is>
      </c>
      <c r="H64" s="6" t="inlineStr">
        <is>
          <t>It is a book meant for the aspirants of UPPSC main examination. It covers topics from the syllabus of General Studies Paper 3 (Economy, Environment, Internal Security and Disaster Management) of the new syllabus of UPPSC state service exam. Model papers are given for self assessment. This book is the third part of the entire series for UPPSC main examination, which comprises a total of 4 booklets.The book has been prepared by the Content Team of Oakbridge under the guidance of faculties.</t>
        </is>
      </c>
      <c r="I64" s="6" t="inlineStr">
        <is>
          <t>The book has been prepared by the Content Team of Oakbridge under the guidance of faculties.</t>
        </is>
      </c>
      <c r="J64" s="4" t="n">
        <v>3</v>
      </c>
      <c r="K64" s="4" t="inlineStr">
        <is>
          <t>English</t>
        </is>
      </c>
      <c r="L64" s="4" t="inlineStr">
        <is>
          <t>PB</t>
        </is>
      </c>
      <c r="M64" s="6" t="inlineStr">
        <is>
          <t>India</t>
        </is>
      </c>
      <c r="N64" s="20" t="n">
        <v>44409</v>
      </c>
      <c r="O64" s="4" t="n">
        <v>395</v>
      </c>
      <c r="P64" s="44" t="n">
        <v>395</v>
      </c>
      <c r="Q64" s="6" t="n">
        <v>24</v>
      </c>
      <c r="R64" s="6" t="n">
        <v>18.5</v>
      </c>
      <c r="S64" s="6" t="n">
        <v>2.5</v>
      </c>
      <c r="T64" s="6" t="n">
        <v>600</v>
      </c>
    </row>
    <row r="65" ht="20.1" customHeight="1">
      <c r="A65" s="6" t="n">
        <v>64</v>
      </c>
      <c r="B65" s="4" t="inlineStr">
        <is>
          <t>Academic</t>
        </is>
      </c>
      <c r="C65" s="4" t="inlineStr">
        <is>
          <t>Edge</t>
        </is>
      </c>
      <c r="D65" s="10" t="n">
        <v>9789391032074</v>
      </c>
      <c r="E65" s="10" t="n">
        <v>9391032079</v>
      </c>
      <c r="F65" s="5" t="inlineStr">
        <is>
          <t>OakBridge</t>
        </is>
      </c>
      <c r="G65" s="4" t="inlineStr">
        <is>
          <t xml:space="preserve">UPPSC Samanya Adhyayan Prashna Patra-4 </t>
        </is>
      </c>
      <c r="H65" s="6" t="inlineStr">
        <is>
          <t>It is a book meant for the aspirants of UPPSC main examination. It covers topics from the syllabus of General Studies Paper 4 (Ethics, Integrity and Aptitude) of the new syllabus of UPPSC state service exam. Model papers are given for self- assessment. This book is the fourth part of the entire series for UPPSC main examination, which comprises a total of 4 booklets.2019 से 2020 तक के हल प्रश्न पत्र नए पाठ्यक्रम पर आधारित The book has been prepared by the Content Team of Oakbridge under the guidance of faculties.</t>
        </is>
      </c>
      <c r="I65" s="6" t="inlineStr">
        <is>
          <t>The book has been prepared by the Content Team of Oakbridge under the guidance of faculties.</t>
        </is>
      </c>
      <c r="J65" s="4" t="n">
        <v>3</v>
      </c>
      <c r="K65" s="4" t="inlineStr">
        <is>
          <t>English</t>
        </is>
      </c>
      <c r="L65" s="4" t="inlineStr">
        <is>
          <t>PB</t>
        </is>
      </c>
      <c r="M65" s="6" t="inlineStr">
        <is>
          <t>India</t>
        </is>
      </c>
      <c r="N65" s="20" t="n">
        <v>44409</v>
      </c>
      <c r="O65" s="4" t="n">
        <v>295</v>
      </c>
      <c r="P65" s="44" t="n">
        <v>295</v>
      </c>
      <c r="Q65" s="6" t="n">
        <v>24</v>
      </c>
      <c r="R65" s="6" t="n">
        <v>18.5</v>
      </c>
      <c r="S65" s="6" t="n">
        <v>2.5</v>
      </c>
      <c r="T65" s="6" t="n">
        <v>450</v>
      </c>
    </row>
    <row r="66" ht="20.1" customHeight="1">
      <c r="A66" s="6" t="n">
        <v>65</v>
      </c>
      <c r="B66" s="4" t="inlineStr">
        <is>
          <t>BGR</t>
        </is>
      </c>
      <c r="C66" s="4" t="inlineStr">
        <is>
          <t>OakBridge</t>
        </is>
      </c>
      <c r="D66" s="10" t="n">
        <v>9789391032548</v>
      </c>
      <c r="E66" s="10" t="n">
        <v>9391032540</v>
      </c>
      <c r="F66" s="5" t="inlineStr">
        <is>
          <t>K J Alphons</t>
        </is>
      </c>
      <c r="G66" s="4" t="inlineStr">
        <is>
          <t>Accelerating India : 7 Years of Modi Government</t>
        </is>
      </c>
      <c r="H66" s="6" t="inlineStr">
        <is>
          <t>Accelerating India: 7 Years of Modi Government  qualitatively and quantitatively evaluates the policies of the government in the last 7 years and their impact on the citizens and the nation. The book focuses on twenty-five key sectors, including Education, Digital Revolution, Agriculture, Industry, Environment, Rural Development, Sanitation, Infrastructure, Health, and Economy. Each chapter is contributed by domain experts and eminent civil servants with experience in the sector, giving their insights and understanding on the influence and impact of the various government policies and schemes in accelerating India. Some of these sectors have witnessed a complete overhaul, while others have been streamlined to bring in efficiency. The book aims to present an objective and empirical analysis of the journey that the Indian democracy has traversed under the leadership of Prime Minister and the road ahead in each of the sectoral domains covered</t>
        </is>
      </c>
      <c r="I66" s="6" t="inlineStr">
        <is>
          <t>K. J. Alphons, from 1979 batch of the Indian Administrative Service, quit and joined politics in 2006. He is currently a Member of the Indian Parliament. During his tenure as Tourism Minister of India, from 2017 to 2019, India rose to the 3rd rank in global tourism, as per Global Travel and Tourism Council. He was also Minister of State for Electronics and Information Technology. He rose to national prominence as an effective administrator and anti-corruption crusader. As the Commissioner of the Delhi Development Authority, he demolished 14,310 illegal buildings. These actions earned him the title, ‘The Demolition Man’. He pioneered the literacy movement in India by making Kottayam India’s 1st 100% literate town. The mass contact program he started as District Collector won the highest UN award for innovation in governance. He was in the list of 100 Young Global Leaders of TIME Magazine, along with Bill Gates, Steve Jobs, etc.</t>
        </is>
      </c>
      <c r="J66" s="4" t="n">
        <v>1</v>
      </c>
      <c r="K66" s="4" t="inlineStr">
        <is>
          <t>English</t>
        </is>
      </c>
      <c r="L66" s="4" t="inlineStr">
        <is>
          <t>HB (DJ)</t>
        </is>
      </c>
      <c r="M66" s="6" t="inlineStr">
        <is>
          <t>India</t>
        </is>
      </c>
      <c r="N66" s="20" t="n">
        <v>44409</v>
      </c>
      <c r="O66" s="4" t="n">
        <v>360</v>
      </c>
      <c r="P66" s="44" t="n">
        <v>795</v>
      </c>
      <c r="Q66" s="6" t="n">
        <v>24</v>
      </c>
      <c r="R66" s="6" t="n">
        <v>18.5</v>
      </c>
      <c r="S66" s="6" t="n">
        <v>2.5</v>
      </c>
      <c r="T66" s="6" t="n">
        <v>600</v>
      </c>
    </row>
    <row r="67" ht="20.1" customHeight="1">
      <c r="A67" s="6" t="n">
        <v>66</v>
      </c>
      <c r="B67" s="4" t="inlineStr">
        <is>
          <t>Tax</t>
        </is>
      </c>
      <c r="C67" s="4" t="inlineStr">
        <is>
          <t>OakBridge</t>
        </is>
      </c>
      <c r="D67" s="10" t="n">
        <v>9789391032494</v>
      </c>
      <c r="E67" s="10" t="n">
        <v>9391032494</v>
      </c>
      <c r="F67" s="5" t="inlineStr">
        <is>
          <t>Shailendra Kumar</t>
        </is>
      </c>
      <c r="G67" s="4" t="inlineStr">
        <is>
          <t>COVID 19: Genocide Without Parallel</t>
        </is>
      </c>
      <c r="H67" s="6" t="inlineStr">
        <is>
          <t>COVID 19: Genocide Without Parallel Chronicles of 'Dragon' Let Loose, World Economy, Taxation &amp; Vaccination encapsulates the author’s views on the pandemic and its implications. The chapters in the book are arranged under the following themes:1. P3 + C2 - Pandemic, Plandemic, Political Strand, Cyberwarfare &amp; Climate Change2. Natural or Lab-Designed3. Wolf Warrior Diplomacy by the Dragon4. The First Wave - A ‘Fire-Spitting’ Dragon5. Never-Like-Before - Deep Scars Run through the Global Economy6. India’s Desperate Fiscal Response to Cushion Taxpayers&gt;br&gt; 7. Vexatious Vaccination–Jabs vs Jab-Nots8. The Second Wave - Pole Dance by the New Variants and Death Gods</t>
        </is>
      </c>
      <c r="I67" s="6" t="inlineStr">
        <is>
          <t>Shailendra Kumar is the Founder Editor of India’s First PIB recognised Online Press-www.taxindiaonline.com popularly known as TIOL. He is recognized for his distinguished services of about 21 long years in the field of online journalism besides the 10 years of service in the Print Media (Newspapers). Through his highly popular and respected Weekly Column ‘The Cob(Web)’ he has been sharing innovative and inventive ideas with the policy makers who have been generous enough to acknowledge his efforts on a regular basis. He has previously published a book on black money titled It’s Raining Black.</t>
        </is>
      </c>
      <c r="J67" s="4" t="n">
        <v>1</v>
      </c>
      <c r="K67" s="4" t="inlineStr">
        <is>
          <t>English</t>
        </is>
      </c>
      <c r="L67" s="4" t="inlineStr">
        <is>
          <t>HB (DJ)</t>
        </is>
      </c>
      <c r="M67" s="6" t="inlineStr">
        <is>
          <t>India</t>
        </is>
      </c>
      <c r="N67" s="20" t="n">
        <v>44409</v>
      </c>
      <c r="O67" s="4" t="n">
        <v>320</v>
      </c>
      <c r="P67" s="44" t="n">
        <v>795</v>
      </c>
      <c r="Q67" s="6" t="n">
        <v>24</v>
      </c>
      <c r="R67" s="6" t="n">
        <v>18.5</v>
      </c>
      <c r="S67" s="6" t="n">
        <v>2.5</v>
      </c>
      <c r="T67" s="6" t="n">
        <v>600</v>
      </c>
    </row>
    <row r="68" ht="20.1" customHeight="1">
      <c r="A68" s="6" t="n">
        <v>67</v>
      </c>
      <c r="B68" s="4" t="inlineStr">
        <is>
          <t>Tax</t>
        </is>
      </c>
      <c r="C68" s="4" t="inlineStr">
        <is>
          <t>OakBridge</t>
        </is>
      </c>
      <c r="D68" s="10" t="n">
        <v>9789391032487</v>
      </c>
      <c r="E68" s="10" t="n">
        <v>9391032486</v>
      </c>
      <c r="F68" s="5" t="inlineStr">
        <is>
          <t>Mukesh Bhutani
Kinshuk Jha</t>
        </is>
      </c>
      <c r="G68" s="4" t="inlineStr">
        <is>
          <t>Taxpayer Rights: Deciphering the Indian Charter</t>
        </is>
      </c>
      <c r="H68" s="6" t="inlineStr">
        <is>
          <t>(i) Examines the state of taxpayer rights in India critically and comparatively covering the following key aspects:(a) An overview of Indian tax administration mechanism in India;(b) Genesis of taxpayer rights in India;(c) The framework of the taxpayers’ charter;(d) Global perspective of taxpayers’ rights;(e) Digitization on taxpayers’ rights;(f) Bridging the gap between taxpayers and tax administration;(g) Policy recommendations. (ii) Unique in its approach it presents the perspectives of practitioners and academics on the subject.</t>
        </is>
      </c>
      <c r="I68" s="6" t="inlineStr">
        <is>
          <t>Mukesh Butani is Founder &amp; Managing Partner of BMR Legal Advocates. With specialisation in domestic corporate international tax and transfer pricing, he has over three decades of experience in advising multinationals and Indian conglomerates on a wide range of matters relating to FDI policy, business re-organisations, cross-border tax structuring, tax controversy and regulatory policy. He is an acknowledged expert in the area of International Tax policy, controversy &amp; advocacy, and has to his credit several landmark judicial pronouncements.  Kinshuk Jha is an Associate Professor and Executive Director, Centre for Comparative and International Taxation (CCIT), Jindal Global Law School (JGLS). He has been teaching domestic and international taxation and his been involved in several academic projects, ranging from innovations at the level of higher secondary education in India, where he co-authored the Legal Studies textbook for CBSE, to being part of an expert panel at the recent USTR investigations of India’s Digital Services Tax. His work focuses on taxpayer rights, anti-abuse provisions and digital taxation.</t>
        </is>
      </c>
      <c r="J68" s="4" t="n">
        <v>1</v>
      </c>
      <c r="K68" s="4" t="inlineStr">
        <is>
          <t>English</t>
        </is>
      </c>
      <c r="L68" s="4" t="inlineStr">
        <is>
          <t>HB (DJ)</t>
        </is>
      </c>
      <c r="M68" s="6" t="inlineStr">
        <is>
          <t>India</t>
        </is>
      </c>
      <c r="N68" s="20" t="n">
        <v>44409</v>
      </c>
      <c r="O68" s="4" t="n">
        <v>272</v>
      </c>
      <c r="P68" s="44" t="n">
        <v>795</v>
      </c>
      <c r="Q68" s="6" t="n">
        <v>24</v>
      </c>
      <c r="R68" s="6" t="n">
        <v>16</v>
      </c>
      <c r="S68" s="6" t="n">
        <v>2.5</v>
      </c>
      <c r="T68" s="6" t="n">
        <v>600</v>
      </c>
    </row>
    <row r="69" ht="20.1" customHeight="1">
      <c r="A69" s="6" t="n">
        <v>68</v>
      </c>
      <c r="B69" s="4" t="inlineStr">
        <is>
          <t>Tax</t>
        </is>
      </c>
      <c r="C69" s="4" t="inlineStr">
        <is>
          <t>OakBridge</t>
        </is>
      </c>
      <c r="D69" s="10" t="n">
        <v>9789391032425</v>
      </c>
      <c r="E69" s="10" t="n">
        <v>9391032427</v>
      </c>
      <c r="F69" s="5" t="inlineStr">
        <is>
          <t>Chetan Dalal</t>
        </is>
      </c>
      <c r="G69" s="4" t="inlineStr">
        <is>
          <t>The Theory of Inverse Logic in Forensic Accounting</t>
        </is>
      </c>
      <c r="H69" s="6" t="inlineStr">
        <is>
          <t>The Theory of Inverse Logic in Forensic Accounting is the author’s attempt of propounding a new theory. The theory in a nutshell illustrates the advantages of looking both ways, forwards and backwards, in given situations to get multidimensional views. The book also illustrates application of certain reality tests on evidence, particularly documentary evidence. A document may appear to indicate something routine or normal but when examined forensically with reality tests, the presence of fraud or deception may be spotted. Thus, in addition to the normal investigation and auditing techniques (which are absolutely necessary) certain reality tests and tests of ‘reasonableness’ using reverse logic may yield new results. In addition, the book is supported with links to access the author’s videos explaining and discussing concepts and case studies. The videos will facilitate better understanding of the theory of inverse logic. The author has extensively used illustrations, experiences with frauds that have happened in the past to demonstrate how the new theory could assist auditors, investigators and even cost &amp; finance controllers in corporate sector.</t>
        </is>
      </c>
      <c r="I69" s="6" t="inlineStr">
        <is>
          <t>The Theory of Inverse Logic in Forensic Accounting is the author’s attempt of propounding a new theory. The theory in a nutshell illustrates the advantages of looking both ways, forwards and backwards, in given situations to get multidimensional views. The book also illustrates application of certain reality tests on evidence, particularly documentary evidence. A document may appear to indicate something routine or normal but when examined forensically with reality tests, the presence of fraud or deception may be spotted. Thus, in addition to the normal investigation and auditing techniques (which are absolutely necessary) certain reality tests and tests of ‘reasonableness’ using reverse logic may yield new results. In addition, the book is supported with links to access the author’s videos explaining and discussing concepts and case studies. The videos will facilitate better understanding of the theory of inverse logic. The author has extensively used illustrations, experiences with frauds that have happened in the past to demonstrate how the new theory could assist auditors, investigators and even cost &amp; finance controllers in corporate sector.</t>
        </is>
      </c>
      <c r="J69" s="4" t="n">
        <v>1</v>
      </c>
      <c r="K69" s="4" t="inlineStr">
        <is>
          <t>English</t>
        </is>
      </c>
      <c r="L69" s="4" t="inlineStr">
        <is>
          <t>HB (DJ)</t>
        </is>
      </c>
      <c r="M69" s="6" t="inlineStr">
        <is>
          <t>India</t>
        </is>
      </c>
      <c r="N69" s="20" t="n">
        <v>44409</v>
      </c>
      <c r="O69" s="4" t="n">
        <v>594</v>
      </c>
      <c r="P69" s="44" t="n">
        <v>1595</v>
      </c>
      <c r="Q69" s="6" t="n">
        <v>24</v>
      </c>
      <c r="R69" s="6" t="n">
        <v>16</v>
      </c>
      <c r="S69" s="6" t="n">
        <v>2.5</v>
      </c>
      <c r="T69" s="6" t="n">
        <v>1000</v>
      </c>
    </row>
    <row r="70" ht="20.1" customHeight="1">
      <c r="A70" s="6" t="n">
        <v>69</v>
      </c>
      <c r="B70" s="4" t="inlineStr">
        <is>
          <t>Academic</t>
        </is>
      </c>
      <c r="C70" s="4" t="inlineStr">
        <is>
          <t>Edge</t>
        </is>
      </c>
      <c r="D70" s="10" t="n">
        <v>9789391032272</v>
      </c>
      <c r="E70" s="10" t="n">
        <v>9391032273</v>
      </c>
      <c r="F70" s="5" t="inlineStr">
        <is>
          <t>Amit Sinha</t>
        </is>
      </c>
      <c r="G70" s="4" t="inlineStr">
        <is>
          <t>Indian Economy</t>
        </is>
      </c>
      <c r="H70" s="6" t="inlineStr">
        <is>
          <t>Indian Economy –from Seclusion to Inclusion, is a comprehensive book for Civil Services preliminary and main examinations. It will also help those preparing for various state services examinations. As the name suggests, the book provides detailed insights into the changing paradigm of the Indian economy. Explaining the condition of the Indian economy at the time of independence, the book delves deep into the gradual shift of Indian economy from agriculture-oriented to service-oriented. It explains the evolution of Indian economy in the era of interdependence. It also provides a brief analysis of changing facets of the World economy and its impact on the Indian economy. Mapped to the pattern of the questions asked in the General Studies Paper III of the Civil Services Examination (CSE), the book embedded with the latest economic data based on the Budget and Economic survey of 2018. For facilitating a better understanding of the subject matter, an attempt has been made to present the topics in a prescriptive manner. Written in the simple and lucid language, the book will serve as a comprehensive reference for the topics on Indian Economy. Key Features: Highlights of Budget 2018-19 and Economic Survey 2017-18 Insights on changing paradigm of Indian economy Brief analysis of world economy and its impact on Indian economy Highlights of latest social sectors initiatives of GoI Updated with latest data and statistics Previous years’ questions of the CSE till 2018 Practice questions based on the latest pattern of the CSEAmit Sinha is the co—founder Director of AAI. He pursued his M.A. and LLB from Delhi University. He also holds Post Graduate Diploma in Rural Development. He has been guiding the aspirants of Civil Services Examination for past 10 years on subjects like Indian Economy, International Relations and Social Issues. Under his guidance, many aspirants have cracked the Civil Services Examination.</t>
        </is>
      </c>
      <c r="I70" s="6" t="inlineStr">
        <is>
          <t>Amit Sinha is the co—founder Director of AAI. He pursued his M.A. and LLB from Delhi University. He also holds Post Graduate Diploma in Rural Development. He has been guiding the aspirants of Civil Services Examination for past 10 years on subjects like Indian Economy, International Relations and Social Issues. Under his guidance, many aspirants have cracked the Civil Services Examination.</t>
        </is>
      </c>
      <c r="J70" s="4" t="n">
        <v>2</v>
      </c>
      <c r="K70" s="4" t="inlineStr">
        <is>
          <t>English</t>
        </is>
      </c>
      <c r="L70" s="4" t="inlineStr">
        <is>
          <t>PB</t>
        </is>
      </c>
      <c r="M70" s="6" t="inlineStr">
        <is>
          <t>India</t>
        </is>
      </c>
      <c r="N70" s="20" t="n">
        <v>44440</v>
      </c>
      <c r="O70" s="4" t="n">
        <v>610</v>
      </c>
      <c r="P70" s="44" t="n">
        <v>550</v>
      </c>
      <c r="Q70" s="6" t="n">
        <v>24</v>
      </c>
      <c r="R70" s="6" t="n">
        <v>16</v>
      </c>
      <c r="S70" s="6" t="n">
        <v>2.5</v>
      </c>
      <c r="T70" s="6" t="n">
        <v>700</v>
      </c>
    </row>
    <row r="71" ht="20.1" customHeight="1">
      <c r="A71" s="6" t="n">
        <v>70</v>
      </c>
      <c r="B71" s="4" t="inlineStr">
        <is>
          <t>Tax</t>
        </is>
      </c>
      <c r="C71" s="4" t="inlineStr">
        <is>
          <t>OakBridge</t>
        </is>
      </c>
      <c r="D71" s="10" t="n">
        <v>9789391032357</v>
      </c>
      <c r="E71" s="10" t="n">
        <v>9391032354</v>
      </c>
      <c r="F71" s="5" t="inlineStr">
        <is>
          <t>Rav Pratap Singh</t>
        </is>
      </c>
      <c r="G71" s="4" t="inlineStr">
        <is>
          <t>Constitution of Tax</t>
        </is>
      </c>
      <c r="H71" s="6" t="inlineStr">
        <is>
          <t>Constitution of Tax: A Tale of Four Constitutional Amendments and Consumption Taxes provides an exhaustive account of the four tax-oriented Constitutional amendments, their aims, limitations, and their impact. Written in a lucid language, the book presents an in-depth analysis of the constitutional aspects of tax law. The author examines the evolution of consumption taxes and their frequently contentious place in the Indian Constitutional framework. While placing the GST related Constitutional Amendment in a historical context, the commentary provides an insight into the nature of GST Council and GST Compensation Cess and their implications on fiscal federalism in India. The book will be useful for legal practitioners, judges, chartered accountants, public policy professionals and law students.</t>
        </is>
      </c>
      <c r="I71" s="6" t="inlineStr">
        <is>
          <t>Rav Pratap Singh is an Assistant Professor of Legal Practice at OP Jindal Global University, Sonipat. He also acts as a legal consultant to various entities especially startups, e-commerce companies, and fintech firms. He primarily provides advisory services and legal opinions relating to GST, digital taxation, tax policy, and matters relating to property law.</t>
        </is>
      </c>
      <c r="J71" s="4" t="n">
        <v>1</v>
      </c>
      <c r="K71" s="4" t="inlineStr">
        <is>
          <t>English</t>
        </is>
      </c>
      <c r="L71" s="4" t="inlineStr">
        <is>
          <t>PB</t>
        </is>
      </c>
      <c r="M71" s="6" t="inlineStr">
        <is>
          <t>India</t>
        </is>
      </c>
      <c r="N71" s="20" t="n">
        <v>44440</v>
      </c>
      <c r="O71" s="4" t="n">
        <v>278</v>
      </c>
      <c r="P71" s="44" t="n">
        <v>595</v>
      </c>
      <c r="Q71" s="6" t="n">
        <v>24</v>
      </c>
      <c r="R71" s="6" t="n">
        <v>16</v>
      </c>
      <c r="S71" s="6" t="n">
        <v>2.5</v>
      </c>
      <c r="T71" s="6" t="n">
        <v>400</v>
      </c>
    </row>
    <row r="72" ht="20.1" customHeight="1">
      <c r="A72" s="6" t="n">
        <v>71</v>
      </c>
      <c r="B72" s="4" t="inlineStr">
        <is>
          <t>Law</t>
        </is>
      </c>
      <c r="C72" s="4" t="inlineStr">
        <is>
          <t>OakBridge</t>
        </is>
      </c>
      <c r="D72" s="10" t="n">
        <v>9789391032579</v>
      </c>
      <c r="E72" s="10" t="inlineStr">
        <is>
          <t>-</t>
        </is>
      </c>
      <c r="F72" s="5" t="inlineStr">
        <is>
          <t>N Vijayaraghavan</t>
        </is>
      </c>
      <c r="G72" s="4" t="inlineStr">
        <is>
          <t>Constitution and its Working</t>
        </is>
      </c>
      <c r="H72" s="6" t="inlineStr">
        <is>
          <t>Constitution and its Working is penned by the author as a sequel to Constitution and its Making. The book captures the author’s experience about the working of the Constitution of India through musings, anecdotes and episodes. ‘Tryst with Destiny’ Speech (Nehru classic) has not become a Grammar
of Anarchy (Ambedkar peroration) thanks to the Constitutional Czars in the Hall of Fame, as Justices Fazl Ali, Vivian Bose, Subba Rao, V R Krishna Iyer; and the stalwart legal practitioners including Nani Palkhivala, Motilal Setalvad, H M Seervai, Soli Sorabjee, the likes of whom come no more, tells the author. In a fascinating constitutional ride, on the musings and episodal road, the author has the reader hooked. The contents and characters commend themselves. The characters came and come alive, as our Constitution, as made, got ‘Working’, for We the People.</t>
        </is>
      </c>
      <c r="I72" s="6" t="inlineStr">
        <is>
          <t>N Vijayaraghavan is a practising Advocate, Madras High Court, with over 3 decades of experience. He has authored several books &amp; has been a resource person with TN Judicial Academy and the National Judicial Academy. He is also a journalist by training and apart from writing in law journals, is a frequent contributor to Deccan Chronicle, on varied subjects with a legal tweak.</t>
        </is>
      </c>
      <c r="J72" s="4" t="n">
        <v>1</v>
      </c>
      <c r="K72" s="4" t="inlineStr">
        <is>
          <t>English</t>
        </is>
      </c>
      <c r="L72" s="4" t="inlineStr">
        <is>
          <t>PB</t>
        </is>
      </c>
      <c r="M72" s="6" t="inlineStr">
        <is>
          <t>India</t>
        </is>
      </c>
      <c r="N72" s="20" t="n">
        <v>44470</v>
      </c>
      <c r="O72" s="4" t="n">
        <v>426</v>
      </c>
      <c r="P72" s="44" t="n">
        <v>595</v>
      </c>
      <c r="Q72" s="6" t="n">
        <v>24</v>
      </c>
      <c r="R72" s="6" t="n">
        <v>18.5</v>
      </c>
      <c r="S72" s="6" t="n">
        <v>2.5</v>
      </c>
      <c r="T72" s="6" t="n">
        <v>600</v>
      </c>
    </row>
    <row r="73" ht="20.1" customHeight="1">
      <c r="A73" s="6" t="n">
        <v>72</v>
      </c>
      <c r="B73" s="4" t="inlineStr">
        <is>
          <t>Law</t>
        </is>
      </c>
      <c r="C73" s="4" t="inlineStr">
        <is>
          <t>OakBridge</t>
        </is>
      </c>
      <c r="D73" s="10" t="n">
        <v>9789391032593</v>
      </c>
      <c r="E73" s="10" t="n">
        <v>9391032591</v>
      </c>
      <c r="F73" s="5" t="inlineStr">
        <is>
          <t>Maj Gen Nilendra Kumar</t>
        </is>
      </c>
      <c r="G73" s="4" t="inlineStr">
        <is>
          <t>Constitution of India - MCQs, Essays &amp; Lectures</t>
        </is>
      </c>
      <c r="H73" s="6" t="inlineStr">
        <is>
          <t>Constitution of India: MCQs, Essays, &amp; Audio Lectures aims to present an elaborate and comprehensive data bank of questions covering the entire range of the Constitutional text. Questions have been so framed that they induce the students to dwell on the aim, purpose, rationale and import of the Articles. Questions that only attempt to facilitate memorizing ability have been kept out of the book. To upgrade the knowledge base of the students and to sensitize them, ten different topics have been identified where eminent law practitioners have articulated the underlying concept and landmark decisions of the Supreme Court. These lectures are also available to the reader in the audio format which can be accessed through the code provided in the book.
Legal luminaries including Justice Madan B Lokur, Dr Subhash C Kashyap, Dr Manish Arora, and Adv. M K Singh have also contributed to the book through their essays on the importance of studying the Constitution of India and have shared their experience and insights for the benefit of the readers. The book will help law students, candidates for the LLM, UGC (NET) exams, PhD scholars, those writing judiciary exams, young civil servants, academic members of the media, those part of think-tanks and even fresh parliamentarians and legislators.
• The book is first of its kind on the Constitution of India with audio lectures
• Provides a multi-faceted view of the subject with:
(i) MCQs on the Constitution, Case Law and Legal Trivia
(ii) Articles guiding students of law on key topics under the Constitution by legal stalwarts
• Piques the interest of the readers in the Constitution opening the pathway for in-depth study</t>
        </is>
      </c>
      <c r="I73" s="6" t="inlineStr">
        <is>
          <t>Major General Nilendra Kumar has over 50 years of experience of working extensively across the legal space- from the government to educational institutions; international non-government agencies and corporates. He was awarded Ati Vishisht Seva Medal and Vishisht Seva Medal for his contributions as Judge Advocate General of the Indian Army, where he served for 28 years.</t>
        </is>
      </c>
      <c r="J73" s="4" t="n">
        <v>1</v>
      </c>
      <c r="K73" s="4" t="inlineStr">
        <is>
          <t>English</t>
        </is>
      </c>
      <c r="L73" s="4" t="inlineStr">
        <is>
          <t>PB</t>
        </is>
      </c>
      <c r="M73" s="6" t="inlineStr">
        <is>
          <t>India</t>
        </is>
      </c>
      <c r="N73" s="20" t="n">
        <v>44470</v>
      </c>
      <c r="O73" s="4" t="n">
        <v>360</v>
      </c>
      <c r="P73" s="44" t="n">
        <v>495</v>
      </c>
      <c r="Q73" s="6" t="n">
        <v>24</v>
      </c>
      <c r="R73" s="6" t="n">
        <v>16</v>
      </c>
      <c r="S73" s="6" t="n">
        <v>2.5</v>
      </c>
      <c r="T73" s="6" t="n">
        <v>450</v>
      </c>
    </row>
    <row r="74" ht="20.1" customHeight="1">
      <c r="A74" s="6" t="n">
        <v>73</v>
      </c>
      <c r="B74" s="4" t="inlineStr">
        <is>
          <t>Tax</t>
        </is>
      </c>
      <c r="C74" s="4" t="inlineStr">
        <is>
          <t>OakBridge</t>
        </is>
      </c>
      <c r="D74" s="10" t="n">
        <v>9789391032685</v>
      </c>
      <c r="E74" s="10" t="n">
        <v>9391032680</v>
      </c>
      <c r="F74" s="5" t="inlineStr">
        <is>
          <t>K R Sekar</t>
        </is>
      </c>
      <c r="G74" s="4" t="inlineStr">
        <is>
          <t>Digital Economy &amp; Direct Taxation – An Overview</t>
        </is>
      </c>
      <c r="H74" s="6" t="inlineStr">
        <is>
          <t>Digital Economy &amp; Direct Taxation – An Overview traces the evolution of new business models based on digital technologies and discusses the associated taxation challenges. The emergence of the digital economy comprising digital goods and services, virtual currencies including blockchains and bitcoins, and digitalization of traditional business models has necessitated that the conventional principles of taxation are redesigned and newer approaches are adopted. The book identifies various direct tax issues that are being faced globally including the identification of ‘significant economic presence’, the need for nexus-based permanent establishment, and attribution of profits and collection of taxes. With varying and at times competing domestic and international priorities, the role of OECD becomes crucial in bringing about a consensus-based solution to address the challenges of taxing the digital economy. In this context, the book discusses the Unified Approach proposed by the OECD. The author also examines in detail the Equalisation Levy introduced by India in 2016 on digital transactions, and its implementation through the years along with the recent expansion of its scope in 2020. Precedential developments are covered in the book through a selection of Indian and International Rulings where tenuous questions relating to taxation of digital economy have been delved into. The book is intended to serve as a summary and analysis of the challenges faced in implementation of the proposals relating to taxation of digital economy.</t>
        </is>
      </c>
      <c r="I74" s="6" t="inlineStr">
        <is>
          <t xml:space="preserve">K R Sekar is a Founder Member and Director on the Board of ITRAF. He is a Tax Partner with Deloitte Touche Tohmatsu India LLP. He has over 25 years of experience in the fields of direct taxes, mergers and acquisitions, international taxation and transfer pricing. His key areas of expertise include inbound structuring, litigation support and advising on cross-border tax issues. He is also associated with many landmark litigation cases for global companies. He was recognised as one of the leading Tax Controversy Leaders 2013 by International Tax Review, UK.
</t>
        </is>
      </c>
      <c r="J74" s="4" t="n">
        <v>1</v>
      </c>
      <c r="K74" s="4" t="inlineStr">
        <is>
          <t>English</t>
        </is>
      </c>
      <c r="L74" s="4" t="inlineStr">
        <is>
          <t>HB (DJ)</t>
        </is>
      </c>
      <c r="M74" s="6" t="inlineStr">
        <is>
          <t>India</t>
        </is>
      </c>
      <c r="N74" s="20" t="n">
        <v>44470</v>
      </c>
      <c r="O74" s="4" t="n">
        <v>208</v>
      </c>
      <c r="P74" s="44" t="n">
        <v>695</v>
      </c>
      <c r="Q74" s="6" t="n">
        <v>24</v>
      </c>
      <c r="R74" s="6" t="n">
        <v>16</v>
      </c>
      <c r="S74" s="6" t="n">
        <v>2.5</v>
      </c>
      <c r="T74" s="6" t="n">
        <v>500</v>
      </c>
    </row>
    <row r="75" ht="20.1" customHeight="1">
      <c r="A75" s="6" t="n">
        <v>74</v>
      </c>
      <c r="B75" s="4" t="inlineStr">
        <is>
          <t>Academic</t>
        </is>
      </c>
      <c r="C75" s="4" t="inlineStr">
        <is>
          <t>Edge</t>
        </is>
      </c>
      <c r="D75" s="10" t="n">
        <v>9789391032333</v>
      </c>
      <c r="E75" s="10" t="n">
        <v>9391032338</v>
      </c>
      <c r="F75" s="5" t="inlineStr">
        <is>
          <t>Yashi Dhariwal</t>
        </is>
      </c>
      <c r="G75" s="4" t="inlineStr">
        <is>
          <t>International Relations</t>
        </is>
      </c>
      <c r="H75" s="6" t="inlineStr">
        <is>
          <t>International Relations is a comprehensive text specifically aimed for the aspirants of Civil Services examination. It will also be useful for those appearing in various State Services examinations. The book comprehensively covers the important aspects of international relations, as mentioned in the syllabus of General Studies Paper II of Civil Services examination. Starting with the discussion on the phases of India’s foreign policy, the book delves deep into the bilateral relations among various countries, India’s interactions with various regional and multilateral platforms, impact of international agreements and treaties on India’s foreign policy. Keeping in mind India’s national interest and domestic policies, the book also covers the various instruments of India’s foreign policy. The book is written in manner to include all the dimensions of a topic viz. Political, Economic, Social and Cultural, Technical, Educational and Legal. Illustration, flowcharts and diagrams have been provided for a better understanding. Key Features :-- Explains the vision of India’s Foreign Policy- Presents analytical insights into India’s bilateral, regional and multilateral relations- Describes India’s interactions with various international organizations- Includes the recent initiatives taken by India to boost its international presence- Provides chapter-wise compilation of previous years’ questions and practice questions.</t>
        </is>
      </c>
      <c r="I75" s="6" t="inlineStr">
        <is>
          <t>Yashi Surana Dhariwal has worked in the Political and Media department of the Chinese Consulate in Kolkata. She holds a BA in Political Science from Presidency College and MA in international relations from Jadavpur University. Yashi has been guiding the aspirants of civil services and state services examinations. She is extremely passionate about international politics and foreign affairs.</t>
        </is>
      </c>
      <c r="J75" s="4" t="n">
        <v>2</v>
      </c>
      <c r="K75" s="4" t="inlineStr">
        <is>
          <t>English</t>
        </is>
      </c>
      <c r="L75" s="4" t="inlineStr">
        <is>
          <t>PB</t>
        </is>
      </c>
      <c r="M75" s="6" t="inlineStr">
        <is>
          <t>India</t>
        </is>
      </c>
      <c r="N75" s="20" t="n">
        <v>44501</v>
      </c>
      <c r="O75" s="4" t="n">
        <v>518</v>
      </c>
      <c r="P75" s="44" t="n">
        <v>445</v>
      </c>
      <c r="Q75" s="6" t="n">
        <v>24</v>
      </c>
      <c r="R75" s="6" t="n">
        <v>16</v>
      </c>
      <c r="S75" s="6" t="n">
        <v>2.5</v>
      </c>
      <c r="T75" s="6" t="n">
        <v>400</v>
      </c>
    </row>
    <row r="76" ht="20.1" customHeight="1">
      <c r="A76" s="6" t="n">
        <v>75</v>
      </c>
      <c r="B76" s="4" t="inlineStr">
        <is>
          <t>Academic</t>
        </is>
      </c>
      <c r="C76" s="4" t="inlineStr">
        <is>
          <t>Edge</t>
        </is>
      </c>
      <c r="D76" s="10" t="n">
        <v>9789391032340</v>
      </c>
      <c r="E76" s="10" t="n">
        <v>9391032346</v>
      </c>
      <c r="F76" s="5" t="inlineStr">
        <is>
          <t>OakBridge</t>
        </is>
      </c>
      <c r="G76" s="4" t="inlineStr">
        <is>
          <t>MPPSC Mains Examination Series General Studies Paper 4</t>
        </is>
      </c>
      <c r="H76" s="6" t="inlineStr">
        <is>
          <t>MPPSC General Studies Paper 4 is a comprehensive guidebook for aspirants of MPPSC examination. It covers all the topics under Paper 4 including Philosophy, Psychology, and Public Administration as prescribed by the New MPPSC syllabus in a lucid manner with the help of diagrams and flowcharts.
Dealing with the nature, meaning and scope of the subjects under MPPSC General Studies Paper 4, the book delves deep into the application of ethics in governance and public life. It also provides detailed insights on the ethical principles defined by Philosophers, Thinkers and Social Reformers. 
Key features
• Strictly mapped word by word according to New Syllabus of MPPSC
• Includes Case Studies based on the application of ethics in governance and public life
• Contains Special Charts and Diagrams, which will help aspirants in scoring better
• Presents the content in a concise form ensuring that every statement in the books meaningful and important
• Provides Solved Previous Year Papers of MPPSC GS Paper 4 from 2015 to 2019</t>
        </is>
      </c>
      <c r="I76" s="6" t="inlineStr">
        <is>
          <t>Sagar Srivastava is a Range Forest Officer with the Madhya Pradesh Government. Previously he has worked as Assistant System Engineer with Tata Consultancy Services (TCS) after completing his Bachelor of Engineering in Electronics and Communication. He has also been mentoring state services aspirants at various coaching institutes.</t>
        </is>
      </c>
      <c r="J76" s="4" t="n">
        <v>1</v>
      </c>
      <c r="K76" s="4" t="inlineStr">
        <is>
          <t>English</t>
        </is>
      </c>
      <c r="L76" s="4" t="inlineStr">
        <is>
          <t>PB</t>
        </is>
      </c>
      <c r="M76" s="6" t="inlineStr">
        <is>
          <t>India</t>
        </is>
      </c>
      <c r="N76" s="20" t="n">
        <v>44501</v>
      </c>
      <c r="O76" s="4" t="n">
        <v>274</v>
      </c>
      <c r="P76" s="44" t="n">
        <v>295</v>
      </c>
      <c r="Q76" s="6" t="n">
        <v>24</v>
      </c>
      <c r="R76" s="6" t="n">
        <v>18.5</v>
      </c>
      <c r="S76" s="6" t="n">
        <v>2.5</v>
      </c>
      <c r="T76" s="6" t="n">
        <v>350</v>
      </c>
    </row>
    <row r="77" ht="20.1" customHeight="1">
      <c r="A77" s="6" t="n">
        <v>76</v>
      </c>
      <c r="B77" s="4" t="inlineStr">
        <is>
          <t>BGR</t>
        </is>
      </c>
      <c r="C77" s="4" t="inlineStr">
        <is>
          <t>Cursive</t>
        </is>
      </c>
      <c r="D77" s="10" t="n">
        <v>9789391032692</v>
      </c>
      <c r="E77" s="10" t="n">
        <v>9391032699</v>
      </c>
      <c r="F77" s="5" t="inlineStr">
        <is>
          <t>Naina Pachnanda</t>
        </is>
      </c>
      <c r="G77" s="4" t="inlineStr">
        <is>
          <t>Miracles do Happen</t>
        </is>
      </c>
      <c r="H77" s="6" t="inlineStr">
        <is>
          <t xml:space="preserve">Miracles do Happen is a book of over 200 poems, conceived during the greatest challenge to mankind in the 21st century – the Covid-19 pandemic. It is based on life, love, loss, failure, rejection, introspection, self-reflection, acceptance, manifestation, and abundant happiness.  </t>
        </is>
      </c>
      <c r="I77" s="6" t="inlineStr">
        <is>
          <t>Naina Pachnanda is a lawyer working with Invest India, the National Investment Promotion and Facilitation Agency of India. She has completed her B.A. LL.B (Hons) from the West Bengal National University of Juridical Sciences ( NUJS) Kolkata in 2014.  She is the author of the book ‘ A New India’, a book of patriotic poetry, based on the schemes of the Government of India. As a lawyer, she has practiced across various forums including the Supreme Court of India, the High Court of Delhi, Tribunals and District Courts as well as dealt with domestic arbitrations. This apart, she has published various articles on prominent topics of law and is also an Editor of the India Law Journal. She is a keen sports woman, proficient in piano and an enthusiastic tarot card reader.</t>
        </is>
      </c>
      <c r="J77" s="4" t="n">
        <v>1</v>
      </c>
      <c r="K77" s="4" t="inlineStr">
        <is>
          <t>English</t>
        </is>
      </c>
      <c r="L77" s="4" t="inlineStr">
        <is>
          <t>PB</t>
        </is>
      </c>
      <c r="M77" s="6" t="inlineStr">
        <is>
          <t>India</t>
        </is>
      </c>
      <c r="N77" s="20" t="n">
        <v>44501</v>
      </c>
      <c r="O77" s="4" t="n">
        <v>216</v>
      </c>
      <c r="P77" s="44" t="n">
        <v>395</v>
      </c>
      <c r="Q77" s="6" t="n">
        <v>24</v>
      </c>
      <c r="R77" s="6" t="n">
        <v>18.5</v>
      </c>
      <c r="S77" s="6" t="n">
        <v>2.5</v>
      </c>
      <c r="T77" s="6" t="n">
        <v>400</v>
      </c>
    </row>
    <row r="78" ht="20.1" customHeight="1">
      <c r="A78" s="6" t="n">
        <v>77</v>
      </c>
      <c r="B78" s="4" t="inlineStr">
        <is>
          <t>Law</t>
        </is>
      </c>
      <c r="C78" s="4" t="inlineStr">
        <is>
          <t>OakBridge</t>
        </is>
      </c>
      <c r="D78" s="10" t="n">
        <v>9789391032623</v>
      </c>
      <c r="E78" s="10" t="n">
        <v>9391032621</v>
      </c>
      <c r="F78" s="5" t="inlineStr">
        <is>
          <t>Dr Pawan Sharma</t>
        </is>
      </c>
      <c r="G78" s="4" t="inlineStr">
        <is>
          <t>Article 370 - A Monograph</t>
        </is>
      </c>
      <c r="H78" s="6" t="inlineStr">
        <is>
          <t>Article 370 – A Monograph traces the journey of this Constitutional provision from its inception to its abrogation and the following happenings. In the book, the author has adopted a novel approach of first setting the context by analysing the historical, socio-cultural, political, legal and judicial aspects of Kashmir. With this background, the author has discussed the events that led to the inclusion of Article 370 in the Constitution of India, its position through the years and finally its abrogation. The author views these developments through a multitude of lenses providing a holistic picture of what its impact has been on the region and the people of Kashmir, and the region’s relationship with the other countries in the world. The book, divided into 7 chapters, begins the discussion with the political and historical background of Article 370, and proceeds on to its abrogation and validity thereof, the implementation of Public Safety Act in the valley &amp; consequent detentions, ramifications on the diplomatic ties of India with other countries, and the global response to the abrogation. The author has concluded the discussion on a hopeful note discussing the role that Kartarpur Corridor could play in developing better relations between the two neighbouring countries. The book incorporates the perspectives of all the stakeholders, including the people of Kashmir. 
With the intent to mark this book as a tribute to the late Prof (Dr) Mool Chand Sharma tribute messages from legal luminaries who have worked closely with him have also been included.</t>
        </is>
      </c>
      <c r="I78" s="6" t="inlineStr">
        <is>
          <t>Dr Pawan Sharma has been associated with the Law Commission of India for about three decades serving in various capacities including Secretary to the Commission, Joint Secretary and Law Officer (Indian Legal Service). Her contributions to the Commission's Reports such as child marriage, shared parentage, coparcenary property rights, compulsory marriage registration, right to education, and others dealing with women issues have been well appreciated and acknowledged. Apart from contributing to the Commission's agenda, her writings and articles published in various journals on issues relating to women and children have received wide acclaim. In 2017, she released her book, “Journey of the Women Law Reforms and the Law Commission of India: Some Insights”, which traced the history and journey of the Commission’s efforts towards reforming India’s legal system to be more inclusive for women.</t>
        </is>
      </c>
      <c r="J78" s="4" t="n">
        <v>1</v>
      </c>
      <c r="K78" s="4" t="inlineStr">
        <is>
          <t>English</t>
        </is>
      </c>
      <c r="L78" s="4" t="inlineStr">
        <is>
          <t>PB</t>
        </is>
      </c>
      <c r="M78" s="6" t="inlineStr">
        <is>
          <t>India</t>
        </is>
      </c>
      <c r="N78" s="20" t="n">
        <v>44501</v>
      </c>
      <c r="O78" s="4" t="n">
        <v>274</v>
      </c>
      <c r="P78" s="44" t="n">
        <v>650</v>
      </c>
      <c r="Q78" s="6" t="n">
        <v>21.5</v>
      </c>
      <c r="R78" s="6" t="n">
        <v>14</v>
      </c>
      <c r="S78" s="6" t="n">
        <v>2.5</v>
      </c>
      <c r="T78" s="6" t="n">
        <v>360</v>
      </c>
    </row>
    <row r="79" ht="20.1" customHeight="1">
      <c r="A79" s="6" t="n">
        <v>78</v>
      </c>
      <c r="B79" s="4" t="inlineStr">
        <is>
          <t>Law</t>
        </is>
      </c>
      <c r="C79" s="4" t="inlineStr">
        <is>
          <t>OakBridge</t>
        </is>
      </c>
      <c r="D79" s="10" t="n">
        <v>9789391032746</v>
      </c>
      <c r="E79" s="10" t="n">
        <v>9391032745</v>
      </c>
      <c r="F79" s="5" t="inlineStr">
        <is>
          <t>Dr Justice Shalini Phansalkar Joshi</t>
        </is>
      </c>
      <c r="G79" s="4" t="inlineStr">
        <is>
          <t xml:space="preserve">Decoding Child Sexual Abuse </t>
        </is>
      </c>
      <c r="H79" s="6" t="inlineStr">
        <is>
          <t>Decoding Child Sexual Abuse examines the social malady of sexual abuse of children from a socio-legal perspective. The book highlights the need to recognise the impact and to gauge the gravity of child sexual abuse. In this context the book discusses the lacunae in the existing legal framework in India. The book analyses in detail the provisions of The Protection of Children from Sexual Offences Act, 2012, and the Rules framed thereunder. In addition to this the book also examines the other related statutes including the Juvenile Justice Act, 2015 and the Indian Penal Code, 1860.
The book provides a holistic view on the subject and will act as a reference to develop best practices relating to substantive and procedural laws. A chapter is dedicated to the comparative analysis of the laws in other jurisdictions and the international conventions and treaties on the subject. The book discusses different dimensions of the subject including the secondary victimisation during trial and the investigation stage. While explaining the procedural laws applicable in cases of child sexual abuse, the need for sensitisation of all the persons involved in the trial process is emphasised. This book will be useful for Judges, Practitioners, Police Officers, Social Activists, NGOs, Judicial Academies, Academicians, and Researchers.</t>
        </is>
      </c>
      <c r="I79" s="6" t="inlineStr">
        <is>
          <t>Dr Justice Shalini Phansalkar Joshi is the former Judge of Bombay High Court. She has also worked as Judge of Family Court at Pune and then as the Registrar General of Bombay High Court. She was</t>
        </is>
      </c>
      <c r="J79" s="4" t="n">
        <v>1</v>
      </c>
      <c r="K79" s="4" t="inlineStr">
        <is>
          <t>English</t>
        </is>
      </c>
      <c r="L79" s="4" t="inlineStr">
        <is>
          <t>HB (DJ)</t>
        </is>
      </c>
      <c r="M79" s="6" t="inlineStr">
        <is>
          <t>India</t>
        </is>
      </c>
      <c r="N79" s="20" t="n">
        <v>44501</v>
      </c>
      <c r="O79" s="4" t="n">
        <v>606</v>
      </c>
      <c r="P79" s="44" t="n">
        <v>1295</v>
      </c>
      <c r="Q79" s="6" t="n">
        <v>24</v>
      </c>
      <c r="R79" s="6" t="n">
        <v>16</v>
      </c>
      <c r="S79" s="6" t="n">
        <v>2.5</v>
      </c>
      <c r="T79" s="6" t="n">
        <v>1500</v>
      </c>
    </row>
    <row r="80" ht="20.1" customHeight="1">
      <c r="A80" s="6" t="n">
        <v>79</v>
      </c>
      <c r="B80" s="4" t="inlineStr">
        <is>
          <t>Law</t>
        </is>
      </c>
      <c r="C80" s="4" t="inlineStr">
        <is>
          <t>OakBridge</t>
        </is>
      </c>
      <c r="D80" s="10" t="n">
        <v>9789391032661</v>
      </c>
      <c r="E80" s="10" t="n">
        <v>9391032664</v>
      </c>
      <c r="F80" s="5" t="inlineStr">
        <is>
          <t>SS Naganand</t>
        </is>
      </c>
      <c r="G80" s="4" t="inlineStr">
        <is>
          <t>Story of the Clan – A Legacy Untold</t>
        </is>
      </c>
      <c r="H80" s="6" t="inlineStr">
        <is>
          <t>Story of the Clan – A Legend Untold brings to life the journey of an erudite and illustrious family spanning over 200 years. Narrated by the renowned Senior Advocate, SS Naganand, the author chronicles the lives of his distinguished ancestors and their contributions to the society. The book interweaves their professional, personal and spiritual lives seamlessly. Recounting episodes and incidents from his life, the author shares the lessons that have been instrumental in his professional success as well as personal &amp; spiritual harmony. Written in an anecdotal and lucid style, the narrative is both informative as well as engaging. The book comprises experiences relating to myriad subjects including history, law, travel, spirituality, and traditions. It is fascinating to see the thread of values that runs through the different generations in the family that has paved way for advancements in life while being firmly grounded.
The story that is unfolded will inspire many, from different walks of life, especially the young generation, who can imbibe the life lessons in the book towards a harmonious, holistic and successful life.</t>
        </is>
      </c>
      <c r="I80" s="6" t="inlineStr">
        <is>
          <t>An LLB, triple Gold Medallist, a qualified Chartered Accountant with a national merit rank to his credit, and the recipient of a ‘Living Legend of the Law’ Award conferred upon him by the Bar Association of India, SS Naganand begun his legal career spanning almost four decades, in the year 1981. He was designated Senior Advocate by the High Court of Karnataka in 2003 and is currently serving as the Vice President of the Bar Association of India. As founder and Senior Partner at Justlaw, SS Naganand’s practice spans Corporate and Commercial  Laws, International Trade and Business Laws, Taxation Laws, Intellectual Property Law, Infrastructure, Power &amp; Electricity Laws, Venture Capital Investments, Insolvency and Bankruptcy law, Arbitration, Mediation and Land Laws. This is supplemented by a strong pro bono practice that ensures that his  love for the law is as alive as his strong commitment to contributing to society. SS Naganand has contributed to papers and publications on a range of subjects and topics. He is also actively involved in multifarious social initiatives.</t>
        </is>
      </c>
      <c r="J80" s="4" t="n">
        <v>1</v>
      </c>
      <c r="K80" s="4" t="inlineStr">
        <is>
          <t>English</t>
        </is>
      </c>
      <c r="L80" s="4" t="inlineStr">
        <is>
          <t>HB (DJ)</t>
        </is>
      </c>
      <c r="M80" s="6" t="inlineStr">
        <is>
          <t>India</t>
        </is>
      </c>
      <c r="N80" s="20" t="n">
        <v>44501</v>
      </c>
      <c r="O80" s="4" t="n">
        <v>350</v>
      </c>
      <c r="P80" s="44" t="n">
        <v>950</v>
      </c>
      <c r="Q80" s="6" t="n">
        <v>24</v>
      </c>
      <c r="R80" s="6" t="n">
        <v>16</v>
      </c>
      <c r="S80" s="6" t="n">
        <v>2.5</v>
      </c>
      <c r="T80" s="6" t="n">
        <v>690</v>
      </c>
    </row>
    <row r="81" ht="20.1" customHeight="1">
      <c r="A81" s="6" t="n">
        <v>80</v>
      </c>
      <c r="B81" s="4" t="inlineStr">
        <is>
          <t>Law</t>
        </is>
      </c>
      <c r="C81" s="4" t="inlineStr">
        <is>
          <t>OakBridge</t>
        </is>
      </c>
      <c r="D81" s="10" t="n">
        <v>9789391032760</v>
      </c>
      <c r="E81" s="10" t="n">
        <v>9391032761</v>
      </c>
      <c r="F81" s="5" t="inlineStr">
        <is>
          <t>Saurabh Bindal</t>
        </is>
      </c>
      <c r="G81" s="4" t="inlineStr">
        <is>
          <t>Evolution of Privacy – From Turbulence to Triumph</t>
        </is>
      </c>
      <c r="H81" s="6" t="inlineStr">
        <is>
          <t>Evolution of Privacy – From Turbulence to Triumph walks the reader through the path that right to privacy has traversed in India through the lens of judicial precedents. With the increasing focus on data privacy and protection and the entrenchment of social media and internet into the lives of individuals, it is crucial to understand how the concept of privacy has shaped since India’s  independence. Having started its journey from a strict and narrow interpretation of what privacy constitutes for individuals, the entire gamut of rights that have over time been brought within the purview of the right to privacy has been dealt in detail in the book. The book explains several facets of the right to privacy, such as surveillance, bodily integrity of women, privacy and publications, interception of communications and medical information, to name a few. The role that the Supreme Court has played in interpreting privacy as an essential facet of the fundamental right to life and liberty is also highlighted in the book. The author has also included the key statutes wherein the right to privacy has been acknowledged.</t>
        </is>
      </c>
      <c r="I81" s="6" t="inlineStr">
        <is>
          <t>Saurabh Bindal is an advocate practising law at the Supreme Court of India and High Court of Delhi, India. Saurabh is currently leading the disputes and litigation practice of a reputed law firm as an Associate Partner. He has authored a number of books and papers on law and regularly writes columns for various newspapers. He also undertakes speaking assignments at various forums. He holds a degree in Engineering and Law.</t>
        </is>
      </c>
      <c r="J81" s="4" t="n">
        <v>1</v>
      </c>
      <c r="K81" s="4" t="inlineStr">
        <is>
          <t>English</t>
        </is>
      </c>
      <c r="L81" s="4" t="inlineStr">
        <is>
          <t>PB</t>
        </is>
      </c>
      <c r="M81" s="6" t="inlineStr">
        <is>
          <t>India</t>
        </is>
      </c>
      <c r="N81" s="20" t="n">
        <v>44531</v>
      </c>
      <c r="O81" s="4" t="n">
        <v>270</v>
      </c>
      <c r="P81" s="44" t="n">
        <v>695</v>
      </c>
      <c r="Q81" s="6" t="n">
        <v>24</v>
      </c>
      <c r="R81" s="6" t="n">
        <v>16</v>
      </c>
      <c r="S81" s="6" t="n">
        <v>2.5</v>
      </c>
      <c r="T81" s="6" t="n">
        <v>500</v>
      </c>
    </row>
    <row r="82" ht="20.1" customHeight="1">
      <c r="A82" s="6" t="n">
        <v>81</v>
      </c>
      <c r="B82" s="4" t="inlineStr">
        <is>
          <t>Law</t>
        </is>
      </c>
      <c r="C82" s="4" t="inlineStr">
        <is>
          <t>OakBridge</t>
        </is>
      </c>
      <c r="D82" s="10" t="n">
        <v>9789391032777</v>
      </c>
      <c r="E82" s="10" t="inlineStr">
        <is>
          <t>939103277X</t>
        </is>
      </c>
      <c r="F82" s="5" t="inlineStr">
        <is>
          <t>Puneet Bhasin</t>
        </is>
      </c>
      <c r="G82" s="4" t="inlineStr">
        <is>
          <t>Law Relating to Social Media Crimes, Intermediaries, Digital Media, and OTT Platforms</t>
        </is>
      </c>
      <c r="H82" s="6" t="inlineStr">
        <is>
          <t>Law Relating to Social Media Crimes, Intermediaries, Digital Media, and OTT Platforms explains lucidly the legal and regulatory framework that governs social media, intermediaries, digital media &amp; OTT platforms. The contentious issues relating to privacy and constitutional rights are explored in the book considering the judicial precedent on the subject. The book examines the various facets of the topic including the history of intermediaries in India, the role of the United Nations, the Intermediary Guidelines, 2021, and the need to regulate social media. The book delineates the recent challenges brought against the Guidelines of 2021 before the courts. Laws governing digital media and OTT platforms as well as different mechanisms available to keep them within the bounds of the law is also dealt with in detail in the book. The book consolidates the laws regulating to these new-age platforms/media and the associated mischief in a simple language. The book will be useful to legal practitioners, judges, general counsels, business leaders, academicians, and students.</t>
        </is>
      </c>
      <c r="I82" s="6" t="inlineStr">
        <is>
          <t>Advocate Puneet Bhasin is a Pioneer in Cyber Laws, Data Privacy &amp; Protection and Online Entertainment laws in India and the most sought-after legal practitioner in this space. She is an advisor to the Rajya Sabha Committees on various aspects of Internet laws and is the recipient of 8
National Level Awards. She is a well-known author on Cyber laws and frequently contributes articles in newspapers and online portals. She regularly features on leading news channels including BBC, CNBC, Zee News, and DD News sharing her views and recommendations.</t>
        </is>
      </c>
      <c r="J82" s="4" t="n">
        <v>1</v>
      </c>
      <c r="K82" s="4" t="inlineStr">
        <is>
          <t>English</t>
        </is>
      </c>
      <c r="L82" s="4" t="inlineStr">
        <is>
          <t>PB</t>
        </is>
      </c>
      <c r="M82" s="6" t="inlineStr">
        <is>
          <t>India</t>
        </is>
      </c>
      <c r="N82" s="20" t="n">
        <v>44531</v>
      </c>
      <c r="O82" s="4" t="n">
        <v>292</v>
      </c>
      <c r="P82" s="44" t="n">
        <v>795</v>
      </c>
      <c r="Q82" s="6" t="n">
        <v>24</v>
      </c>
      <c r="R82" s="6" t="n">
        <v>16</v>
      </c>
      <c r="S82" s="6" t="n">
        <v>2.5</v>
      </c>
      <c r="T82" s="6" t="n">
        <v>200</v>
      </c>
    </row>
    <row r="83" ht="20.1" customHeight="1">
      <c r="A83" s="6" t="n">
        <v>82</v>
      </c>
      <c r="B83" s="4" t="inlineStr">
        <is>
          <t>Academic</t>
        </is>
      </c>
      <c r="C83" s="4" t="inlineStr">
        <is>
          <t>Edge</t>
        </is>
      </c>
      <c r="D83" s="10" t="n">
        <v>9789391032821</v>
      </c>
      <c r="E83" s="10" t="n">
        <v>9391032826</v>
      </c>
      <c r="F83" s="5" t="inlineStr">
        <is>
          <t>OakBridge</t>
        </is>
      </c>
      <c r="G83" s="4" t="inlineStr">
        <is>
          <t>General Knowledge</t>
        </is>
      </c>
      <c r="H83" s="6" t="inlineStr">
        <is>
          <t>General Knowledge has been written keeping in mind all the competitive exams. In this book, a proper compilation of examination-useful topics and facts has been made on subjects asked in various government competitive examinations, such as art and culture, history, geography, polity and governance, economy, environment, science, and technology etc. For better understanding of the candidates, a succinct background is also given along with the presentation of facts. This book will help the aspirants in the preparations of examinations like UPSC, SSC, State Services, CDS, NDA, Railways, etc in a short span of time. 
Features:
•	Only book of General Knowledge based on NCERT
•	Useful for all competitive examinations
•	Provides 500+ questions on different topics
•	Model papers for evaluation
•	Updated with latest statistics</t>
        </is>
      </c>
      <c r="I83" s="6" t="inlineStr">
        <is>
          <t>The book has been prepared by the Content Team of Oakbridge under the guidance of faculties.</t>
        </is>
      </c>
      <c r="J83" s="4" t="n">
        <v>1</v>
      </c>
      <c r="K83" s="4" t="inlineStr">
        <is>
          <t>English</t>
        </is>
      </c>
      <c r="L83" s="4" t="inlineStr">
        <is>
          <t>PB</t>
        </is>
      </c>
      <c r="M83" s="6" t="inlineStr">
        <is>
          <t>India</t>
        </is>
      </c>
      <c r="N83" s="20" t="n">
        <v>44562</v>
      </c>
      <c r="O83" s="4" t="n">
        <v>890</v>
      </c>
      <c r="P83" s="44" t="n">
        <v>525</v>
      </c>
      <c r="Q83" s="6" t="n">
        <v>24</v>
      </c>
      <c r="R83" s="6" t="n">
        <v>16</v>
      </c>
      <c r="S83" s="6" t="n">
        <v>2.5</v>
      </c>
      <c r="T83" s="6" t="n">
        <v>1050</v>
      </c>
    </row>
    <row r="84" ht="20.1" customHeight="1">
      <c r="A84" s="6" t="n">
        <v>83</v>
      </c>
      <c r="B84" s="4" t="inlineStr">
        <is>
          <t>BGR</t>
        </is>
      </c>
      <c r="C84" s="4" t="inlineStr">
        <is>
          <t>Cursive</t>
        </is>
      </c>
      <c r="D84" s="10" t="n">
        <v>9789391032739</v>
      </c>
      <c r="E84" s="10" t="n">
        <v>9391032737</v>
      </c>
      <c r="F84" s="5" t="inlineStr">
        <is>
          <t>Mohua Chinappa</t>
        </is>
      </c>
      <c r="G84" s="4" t="inlineStr">
        <is>
          <t>Nautanki Sala and Other Stories</t>
        </is>
      </c>
      <c r="H84" s="6" t="inlineStr">
        <is>
          <t>I had started thinking of her as a lunatic. Instead, I asked her to
not worry about others’ opinion… She smiled at me and asked out of
the blue, if my cat speaks to me? When I said no, she seemed angry.
I felt sorry that I didn’t. I wished I had one, just for her sake.
A former communications and brand consultant, Mohua Chinappa has
met women from diverse backgrounds, from a tribal Khasi woman who
ran a tea stall to a journalist from the Northeast trying to fit in the big
city to an unassuming college girl who could not anticipate the
‘consequence’ of her brutish rebuke to a man.
So, in Nautanki Saala and Other Stories, an average bar dancer gives an
old fart, the finger he deserves, many protagonists believe they are not
enough. As a result, the protagonists in this book do these and more:
• They deny their feelings
• They deny their desires
• They make poor decisions
Most of the stories in the author’s debut book are based on the women
and men she met in a span of two decades, from the early 80s to the
2000s. While the lives of the people are a testament to the
cultural-economic shift in these decades, they are also an attempt to
strengthen the feminist who hesitates in confiding.</t>
        </is>
      </c>
      <c r="I84" s="6" t="inlineStr">
        <is>
          <t>Over the past 15+ years, Mohua Chinappa has held leadership positions as a Public. Relations/Corporate Communications specialist in top agencies, such as Brandcomm, HCL, ITC and Genesis PR. Currently, she hosts The Mohua Show, a podcast about unsung heroes, available on Apple, Google and Spotify.</t>
        </is>
      </c>
      <c r="J84" s="4" t="n">
        <v>1</v>
      </c>
      <c r="K84" s="4" t="inlineStr">
        <is>
          <t>English</t>
        </is>
      </c>
      <c r="L84" s="4" t="inlineStr">
        <is>
          <t>PB</t>
        </is>
      </c>
      <c r="M84" s="6" t="inlineStr">
        <is>
          <t>India</t>
        </is>
      </c>
      <c r="N84" s="20" t="n">
        <v>44562</v>
      </c>
      <c r="O84" s="4" t="n">
        <v>144</v>
      </c>
      <c r="P84" s="44" t="n">
        <v>225</v>
      </c>
      <c r="Q84" s="6" t="n">
        <v>24</v>
      </c>
      <c r="R84" s="6" t="n">
        <v>18.5</v>
      </c>
      <c r="S84" s="6" t="n">
        <v>2.5</v>
      </c>
      <c r="T84" s="6" t="n">
        <v>200</v>
      </c>
    </row>
    <row r="85" ht="20.1" customHeight="1">
      <c r="A85" s="6" t="n">
        <v>84</v>
      </c>
      <c r="B85" s="4" t="inlineStr">
        <is>
          <t>Law</t>
        </is>
      </c>
      <c r="C85" s="4" t="inlineStr">
        <is>
          <t>OakBridge</t>
        </is>
      </c>
      <c r="D85" s="10" t="n">
        <v>9789391032753</v>
      </c>
      <c r="E85" s="10" t="inlineStr">
        <is>
          <t>B09R212JHV</t>
        </is>
      </c>
      <c r="F85" s="5" t="inlineStr">
        <is>
          <t>Dr Bharat Nain &amp; Dr Aditya Nain</t>
        </is>
      </c>
      <c r="G85" s="4" t="inlineStr">
        <is>
          <t>FAQs on Arbitration in India</t>
        </is>
      </c>
      <c r="H85" s="6" t="inlineStr">
        <is>
          <t>FAQs on Arbitration in India aims to demystify arbitration by providing answers to what, why, how, when, and whom of arbitration. The book is presented in a Question &amp; Answer format and covers the entire process of arbitration, from the drafting of contracts to the appointment of arbitrators, and the issuance of arbitral awards. To provide context, the book also explains and compares arbitration with mediation and conciliation. Since the book is written for corporates, business owners, legal &amp; non-legal professionals and students, the authors have explained the concepts in simple, everyday language so that the book may be used as a ready-reference to answer the most basic, yet important questions in arbitration.</t>
        </is>
      </c>
      <c r="I85" s="6" t="inlineStr">
        <is>
          <t>Dr Bharat Nain is a trained professional arbitrator and Founder-Director of an Executive Search firm. He is a non-judicial corporate professional with over 40 years’ experience. Dr Nain is an Engineer &amp; an MBA, and has completed the Fellowship in International Arbitration from the Singapore Institute of Arbitrators, as well as Membership from the Chartered Institute of Arbitrators, London. In addition, Dr Nain is a Marshall Goldsmith Executive Coach. Alongside practicing as an arbitrator, Dr Nain is passionate about demystifying arbitration and has a business-centric approach to the subject.
Dr Aditya Nain is an investment consultant, author and professor with expertise in two domains: investments and philosophy. He is the co-author of Understanding Money, a book on the philosophy of money, published by Routledge. Aditya holds a Ph.D. from IIT Bombay, and is visiting faculty at liberal arts schools. He has developed and taught courses in philosophy and logic at universities for over ten years and has delivered talks on philosophy, intellectual history, investments, Bitcoin and cryptocurrencies. He is currently working on a book on Bitcoin and political philosophy.</t>
        </is>
      </c>
      <c r="J85" s="4" t="n">
        <v>1</v>
      </c>
      <c r="K85" s="4" t="inlineStr">
        <is>
          <t>English</t>
        </is>
      </c>
      <c r="L85" s="4" t="inlineStr">
        <is>
          <t>PB (GF)</t>
        </is>
      </c>
      <c r="M85" s="6" t="inlineStr">
        <is>
          <t>India</t>
        </is>
      </c>
      <c r="N85" s="20" t="n">
        <v>44562</v>
      </c>
      <c r="O85" s="4" t="n">
        <v>338</v>
      </c>
      <c r="P85" s="44" t="n">
        <v>695</v>
      </c>
      <c r="Q85" s="6" t="n">
        <v>21.5</v>
      </c>
      <c r="R85" s="6" t="n">
        <v>14</v>
      </c>
      <c r="S85" s="6" t="n">
        <v>2.5</v>
      </c>
      <c r="T85" s="6" t="n">
        <v>340</v>
      </c>
    </row>
    <row r="86" ht="20.1" customHeight="1">
      <c r="A86" s="6" t="n">
        <v>85</v>
      </c>
      <c r="B86" s="4" t="inlineStr">
        <is>
          <t>Academic</t>
        </is>
      </c>
      <c r="C86" s="4" t="inlineStr">
        <is>
          <t>Edge</t>
        </is>
      </c>
      <c r="D86" s="10" t="n">
        <v>9789391032906</v>
      </c>
      <c r="E86" s="10" t="n">
        <v>9391032907</v>
      </c>
      <c r="F86" s="5" t="inlineStr">
        <is>
          <t>Mohan Krishnamurthy</t>
        </is>
      </c>
      <c r="G86" s="4" t="inlineStr">
        <is>
          <t>GES Periodos Vol. I: Physical, World and Biogeography</t>
        </is>
      </c>
      <c r="H86" s="6" t="inlineStr">
        <is>
          <t>GES PERIODOS is one of the earliest treatises in geography written by Hacataeus of Miletus, the title GesPeriodos is used as a tribute to Hecataeus and early Greek thinkers for their contribution to the field of geography.
Our world is changing rapidly, and students of geography should be averse to the problems and challenges we face. GesPeriodos tries to educate the readers about the various challenges we would face from time to time. Students, academicians, administrators, and law makers should have strong fundamentals in various aspects of our natural environment, changing man-nature relationship and should be well-placed to deal with present and future environmental problems such as climate change, pollution, and zoonosis) and hence GesPeriodos aims to consummate geography in two volumes:
Volume I - Physical, World and Biogeography
Volume II - Indian, Human and Economic Geography
GesPeriodos discusses various aspects of geography. It tries to bring together most contemporary thinking on the subject in a lucid manner. No expert knowledge is assumed on the part of its readers, so this book should be of particular interest to the layman.
Volume I of GesPeriodos aims to explain and acquaint readers with the spatial characteristics of the various natural phenomena associated with the Earth’s atmosphere, lithosphere, hydrosphere, and biosphere.
It introduces basic and advanced physical geography to the students and teachers of geography at undergraduate and postgraduate levels in different universities in India and abroad.
Many new and interesting developments have been apparent in recent years in the study of physical geography, Volume I focus on the most advanced concepts and ideas within each of the subfields of physical geography and expresses these ideas using infographics, illustrations and pictures.</t>
        </is>
      </c>
      <c r="I86" s="6" t="inlineStr">
        <is>
          <t>Mohan, aka nomad man, is a geophysicist on paper, with a heart full of wanderlust. He has been a travel geek since his school days. Till date, he is known to have carried out expeditions to destinations o¬ the beaten path; he is a man full of stories. He is a pathfinder and hates being confined to an office. With truckloads of the ‘never-give-up’ spirit, whenever grounded, he loves to teach, inspire students, guide university graduates across the world and civil service aspirants in India; he has been instrumental in creating numerous civil servants in India in the past decade. In his free time, you can find him reading on the beach, hiking up a mountain or exploring uninhabited places.</t>
        </is>
      </c>
      <c r="J86" s="4" t="n">
        <v>1</v>
      </c>
      <c r="K86" s="4" t="inlineStr">
        <is>
          <t>English</t>
        </is>
      </c>
      <c r="L86" s="4" t="inlineStr">
        <is>
          <t>PB</t>
        </is>
      </c>
      <c r="M86" s="6" t="inlineStr">
        <is>
          <t>India</t>
        </is>
      </c>
      <c r="N86" s="20" t="n">
        <v>44593</v>
      </c>
      <c r="O86" s="4" t="n">
        <v>432</v>
      </c>
      <c r="P86" s="44" t="n">
        <v>550</v>
      </c>
      <c r="Q86" s="6" t="n">
        <v>21.5</v>
      </c>
      <c r="R86" s="6" t="n">
        <v>14</v>
      </c>
      <c r="S86" s="6" t="n">
        <v>2.5</v>
      </c>
      <c r="T86" s="6" t="n">
        <v>1000</v>
      </c>
    </row>
    <row r="87" ht="20.1" customHeight="1">
      <c r="A87" s="6" t="n">
        <v>86</v>
      </c>
      <c r="B87" s="4" t="inlineStr">
        <is>
          <t>Academic</t>
        </is>
      </c>
      <c r="C87" s="4" t="inlineStr">
        <is>
          <t>Edge</t>
        </is>
      </c>
      <c r="D87" s="10" t="n">
        <v>9789391032562</v>
      </c>
      <c r="E87" s="10" t="n">
        <v>9391032567</v>
      </c>
      <c r="F87" s="5" t="inlineStr">
        <is>
          <t>Dhanashree Patil</t>
        </is>
      </c>
      <c r="G87" s="4" t="inlineStr">
        <is>
          <t>The Art of Writing Essay</t>
        </is>
      </c>
      <c r="H87" s="6" t="inlineStr">
        <is>
          <t>The Art of Writing Essay is a unique book written for the aspirants of Civil Services Main Examination. It will also be useful for the aspirants of various state services examinations.
The book deals with tips, tricks and methods to write an effective essay. It strives to provide a platform where candidates can develop their thoughts and ability of expression. Covering indicative essays from the various areas like society, economy, health, culture and environment among others, the book delves deep into the methodologies of framing an essay. Separate chapters have been devoted to guide the readers in writing the art of introduction, body and conclusion of the essay. A comprehensive list of quotations from diverse areas is also incorporated in the book to help candidates in providing professional and literary touch to the essay. Unlike other books available in the market, which provide a mere compilation of essays on various topics, this book provides a list of ‘indicative essays’. The idea is to help candidates in generation of their thoughts and make them critical thinkers, so that they are well-equipped to tackle essays asked on any topic.
The book has been written in simple and lucid language. Essays have been categorised under various topics for a better understanding. The book will certainly guide the aspirants in their journey of cracking the examination.  
Key Features:
Detailed guidelines for writing an effective and organised essay
Provides indicative essays in tune with the latest pattern of the Civil Services Examination
Inclusion of essays from diverse topics along with the essay framing methodologies to promote critical thinking in the aspirants
Presents a comprehensive list of relevant quotations from various areas like education, culture, society and environment among others
Comprises solved Essay papers of CSE Mains (2017–2020)</t>
        </is>
      </c>
      <c r="I87" s="6" t="inlineStr">
        <is>
          <t>Dhanashree Patil is an officer of the Indian Civil Accounts Service, currently posted in the Ministry of Home Affairs. She holds a bachelors degree in International Relations from Mount Holyoke College, USA and is a former fellow of the Young India Fellowship of Ashoka University. She has been guiding aspirants of the Civil Services Examination through Essay Enrichment Program. An ardent reader of
complex texts, she is known for making complex writing simple and accessible to the readers</t>
        </is>
      </c>
      <c r="J87" s="4" t="n">
        <v>2</v>
      </c>
      <c r="K87" s="4" t="inlineStr">
        <is>
          <t>English</t>
        </is>
      </c>
      <c r="L87" s="4" t="inlineStr">
        <is>
          <t>PB</t>
        </is>
      </c>
      <c r="M87" s="6" t="inlineStr">
        <is>
          <t>India</t>
        </is>
      </c>
      <c r="N87" s="20" t="n">
        <v>44593</v>
      </c>
      <c r="O87" s="4" t="n">
        <v>306</v>
      </c>
      <c r="P87" s="44" t="n">
        <v>345</v>
      </c>
      <c r="Q87" s="6" t="n">
        <v>24</v>
      </c>
      <c r="R87" s="6" t="n">
        <v>18.5</v>
      </c>
      <c r="S87" s="6" t="n">
        <v>2.5</v>
      </c>
      <c r="T87" s="6" t="n">
        <v>380</v>
      </c>
    </row>
    <row r="88" ht="20.1" customHeight="1">
      <c r="A88" s="6" t="n">
        <v>87</v>
      </c>
      <c r="B88" s="4" t="inlineStr">
        <is>
          <t>Law</t>
        </is>
      </c>
      <c r="C88" s="4" t="inlineStr">
        <is>
          <t>OakBridge</t>
        </is>
      </c>
      <c r="D88" s="10" t="n">
        <v>9789391032975</v>
      </c>
      <c r="E88" s="10" t="n">
        <v>9391032974</v>
      </c>
      <c r="F88" s="5" t="inlineStr">
        <is>
          <t>N Vijayaraghavan</t>
        </is>
      </c>
      <c r="G88" s="4" t="inlineStr">
        <is>
          <t>Courtroom Wit and Wisdom: True &amp; Anecdotal</t>
        </is>
      </c>
      <c r="H88" s="6" t="inlineStr">
        <is>
          <t>Courtroom Wit and Wisdom makes for an alluring reading. The courtroom is a serious stage. As Justice S Vaidyanathan, in his Foreword, points out, it is a cauldron of multiple emotions. The author has taken the true and factual route, rather than the fictional one. In the heat of exchanges and proceedings, there is spontaneity in the wit and wisdom. The characters come alive, as the author digs into his memory chip. The Scenes in the Act unfold to attract, suggesting that there could even be seeds for a viral serial on the idiot box. Who knows? It could be read from start to finish, middle to middle or rear to front. Any which way, for a convenient and compulsive one. Author affirms that he has named the protagonists where he could and kept some under wraps, where needed. This work is one of a rare genre, from a hands-on practitioner, who has authored an engaging Courtroom Narrative, with wit and wisdom, on the real and true stage.</t>
        </is>
      </c>
      <c r="I88" s="6" t="inlineStr">
        <is>
          <t>N Vijayaraghavan is a practising Advocate, Madras High Court, with over 3 decades of experience. He has authored several books &amp; has been a resource person with TN Judicial Academy and the National Judicial Academy. He is also a journalist by training and apart from writing in law  journals, is a frequent contributor to Deccan Chronicle, on varied subjects with a legal tweak.</t>
        </is>
      </c>
      <c r="J88" s="4" t="n">
        <v>1</v>
      </c>
      <c r="K88" s="4" t="inlineStr">
        <is>
          <t>English</t>
        </is>
      </c>
      <c r="L88" s="4" t="inlineStr">
        <is>
          <t>PB</t>
        </is>
      </c>
      <c r="M88" s="6" t="inlineStr">
        <is>
          <t>India</t>
        </is>
      </c>
      <c r="N88" s="20" t="n">
        <v>44593</v>
      </c>
      <c r="O88" s="4" t="n">
        <v>172</v>
      </c>
      <c r="P88" s="44" t="n">
        <v>350</v>
      </c>
      <c r="Q88" s="6" t="n">
        <v>24</v>
      </c>
      <c r="R88" s="6" t="n">
        <v>18.5</v>
      </c>
      <c r="S88" s="6" t="n">
        <v>2.5</v>
      </c>
      <c r="T88" s="6" t="n">
        <v>200</v>
      </c>
    </row>
    <row r="89" ht="20.1" customHeight="1">
      <c r="A89" s="6" t="n">
        <v>88</v>
      </c>
      <c r="B89" s="4" t="inlineStr">
        <is>
          <t>Tax</t>
        </is>
      </c>
      <c r="C89" s="4" t="inlineStr">
        <is>
          <t>OakBridge</t>
        </is>
      </c>
      <c r="D89" s="10" t="n">
        <v>9789391032913</v>
      </c>
      <c r="E89" s="10" t="n">
        <v>9391032915</v>
      </c>
      <c r="F89" s="5" t="inlineStr">
        <is>
          <t>Ganesh Rajgopalan</t>
        </is>
      </c>
      <c r="G89" s="4" t="inlineStr">
        <is>
          <t>Taxation of Copyright Royalties in India</t>
        </is>
      </c>
      <c r="H89" s="6" t="inlineStr">
        <is>
          <t>Taxation of Copyright Royalties in India is a thematic commentary on the law and practice relating to taxation of copyright royalties. Thoroughly revised and enlarged to cover many new areas of study as well as significant developments in tax litigation, the 2nd Edition:
•	 Discusses copyright concepts and principles developed through judicial precedents impacting income taxation of copyright royalties.
•	Provides a comparative study of Indian and foreign laws on copyright and neighbouring rights to understand the differing tax outcomes.
•	Covers specific scenarios arising in payments for software, cinematographic films, broadcasts, and databases.
•	Exhaustively discusses the software royalties’ controversy including, 
(i)	Supreme Court Ruling in the Engineering Analysis Centre of Excellence
(ii)	Treaty practices worldwide as well as the OECD and UN Model Commentaries
and proposed changes to the UN Commentary
(iii)	Analysis of Tax Rulings issued by the Australian Tax Office.
•	Analyses the copyright royalties’ issues in broadcasting and the internet.
•	Discusses the cross-border tax issues arising from the territorial nature of copyright and the foreign work versus foreign copyright conundrum.
•	Deliberates on the question of the applicable law, the relevance of choice of law principles and the contentious effect on income-tax.</t>
        </is>
      </c>
      <c r="I89" s="6" t="inlineStr">
        <is>
          <t>Ganesh Rajgopalan is a seasoned Chartered Accountant with 36 years of experience. He is an expert in the areas of taxation and manages tax audits and litigation on income-tax and indirect tax matters. His academic research interests presently are in the areas of taxation, copyright law, and international trade laws. He is a proficient author with several published research papers in leading journals and conferences of national and international repute. Mr Ganesh is an active participant and contributor to the knowledge building initiatives of leading professional bodies and research institutions including the Bombay Chartered Accountants’ Society and the Chamber of Tax Consultants. He was awarded the Heather Self Medal by Chartered Institute of Taxation, United Kingdom (CIOT) in 2013.</t>
        </is>
      </c>
      <c r="J89" s="4" t="n">
        <v>2</v>
      </c>
      <c r="K89" s="4" t="inlineStr">
        <is>
          <t>English</t>
        </is>
      </c>
      <c r="L89" s="4" t="inlineStr">
        <is>
          <t>PB</t>
        </is>
      </c>
      <c r="M89" s="6" t="inlineStr">
        <is>
          <t>India</t>
        </is>
      </c>
      <c r="N89" s="20" t="n">
        <v>44621</v>
      </c>
      <c r="O89" s="4" t="n">
        <v>604</v>
      </c>
      <c r="P89" s="44" t="n">
        <v>1195</v>
      </c>
      <c r="Q89" s="6" t="n">
        <v>24</v>
      </c>
      <c r="R89" s="6" t="n">
        <v>16</v>
      </c>
      <c r="S89" s="6" t="n">
        <v>2.5</v>
      </c>
      <c r="T89" s="6" t="n">
        <v>800</v>
      </c>
    </row>
    <row r="90" ht="20.1" customHeight="1">
      <c r="A90" s="6" t="n">
        <v>89</v>
      </c>
      <c r="B90" s="4" t="inlineStr">
        <is>
          <t>Academic</t>
        </is>
      </c>
      <c r="C90" s="4" t="inlineStr">
        <is>
          <t>Edge</t>
        </is>
      </c>
      <c r="D90" s="10" t="n">
        <v>9789391032920</v>
      </c>
      <c r="E90" s="10" t="n">
        <v>9391032923</v>
      </c>
      <c r="F90" s="5" t="inlineStr">
        <is>
          <t>R Rajagopalan</t>
        </is>
      </c>
      <c r="G90" s="4" t="inlineStr">
        <is>
          <t>Environment &amp; Ecology</t>
        </is>
      </c>
      <c r="H90" s="6" t="inlineStr">
        <is>
          <t xml:space="preserve">The Third Edition of Environment and Ecology is a Complete Guide on these topics for the Civil Services Preliminary and Main Examinations. It will also be useful for those appearing in the Indian Forest Service Examination.
New to the Third Edition
• Questions (with answers) from the Preliminary Examination papers 2011-2021.
• Questions from the Main Examination papers 2011-2021.
• Model answers for the Main Examination papers 2021.
• Chapter on important environmental organisations rearranged by topic/chapter.
• Impact of COVID-19 pandemic on various aspects of the environment.
Online Support
•	Test Series for UPSC Preliminary Examination
•	Question Bank for UPSC Main Examination
•	Current Events Updated Every Month
Key Features
• Simple language, easy to understand.
• Question-Answer format for easy preparation for the examination.
• Prescriptive approach, promotes critical thinking.
• Liberal use of bullet points in order to reduce the length of text and enable the aspirants to
read and remember the main points.
• Many true stories to improve the aspirant’s understanding while creating an interest in the topic.
• Strong focus on India.
• Exhaustive coverage of national and international policies, laws, regulations, and conventions.
• Answers to all the questions (2011-21) in the Preliminary Examination with comments
where necessary.
• Section on methods of smart study, useful for all the subjects.
</t>
        </is>
      </c>
      <c r="I90" s="6" t="inlineStr">
        <is>
          <t>Prof. R Rajagopalan, a former Professor at IIT Madras, is the author of 19 books on environment for schools, colleges, and the general public. Prof. Rajagopalan gives presentations and conducts workshops on environment for diverse groups (including IAS officers) across the country.</t>
        </is>
      </c>
      <c r="J90" s="4" t="n">
        <v>3</v>
      </c>
      <c r="K90" s="4" t="inlineStr">
        <is>
          <t>English</t>
        </is>
      </c>
      <c r="L90" s="4" t="inlineStr">
        <is>
          <t>PB</t>
        </is>
      </c>
      <c r="M90" s="6" t="inlineStr">
        <is>
          <t>India</t>
        </is>
      </c>
      <c r="N90" s="20" t="n">
        <v>44630</v>
      </c>
      <c r="O90" s="4" t="n">
        <v>598</v>
      </c>
      <c r="P90" s="44" t="n">
        <v>550</v>
      </c>
      <c r="Q90" s="6" t="n">
        <v>24</v>
      </c>
      <c r="R90" s="6" t="n">
        <v>16</v>
      </c>
      <c r="S90" s="6" t="n">
        <v>2.5</v>
      </c>
      <c r="T90" s="6" t="n">
        <v>600</v>
      </c>
    </row>
    <row r="91" ht="20.1" customHeight="1">
      <c r="A91" s="6" t="n">
        <v>90</v>
      </c>
      <c r="B91" s="4" t="inlineStr">
        <is>
          <t>Academic</t>
        </is>
      </c>
      <c r="C91" s="4" t="inlineStr">
        <is>
          <t>Edge</t>
        </is>
      </c>
      <c r="D91" s="10" t="n">
        <v>9789391032982</v>
      </c>
      <c r="E91" s="10" t="n">
        <v>9391032982</v>
      </c>
      <c r="F91" s="5" t="inlineStr">
        <is>
          <t>Lohit Matani</t>
        </is>
      </c>
      <c r="G91" s="4" t="inlineStr">
        <is>
          <t>Indian Public Administration and Public Policy: Volume II</t>
        </is>
      </c>
      <c r="H91" s="6" t="inlineStr">
        <is>
          <t>Indian Public Administration and Public Policy (Volume II) is specially aimed at the aspirants of the Civil Services (Main) Examination. It will also be useful for the aspirants of various state services examinations.
This book is strictly aligned with the syllabus of Public Administration prescribed by UPSC. Going along the line of the syllabus, the book deals with all the topics one by one extensively. Having said that, it should be mentioned that there are certain ‘hidden topics’ in the syllabus of Public Administration. These topics may be derived from the existing topics by a senior student, but new students may find difficulty in doing that. It is often seen that UPSC asks questions from this ‘hidden syllabus’ which is not directly mentioned in its syllabus. However, a learned person may very well understand that these ‘hidden topics’ are very much a part of the main syllabus as they are connected to the main syllabus. This book helps in connecting the main topics with the ‘hidden topics’.
The book provides flowcharts, diagrams, and mind maps to facilitate better understanding
and retention of the concepts. Written in extremely lucid and simple language, it will serve
as a comprehensive for Paper II of Public Administration.
Key Features
•	Mapped to the UPSC syllabus of Public Administration - Paper II
•	Analytical insights on the theory and practice of Public Administration in India
•	Includes chapter-wise Previous Years Questions (31 Years) and Probable Questions
•	Offers comprehensive lists of important terminologies, important scholars, important books, and important organizations associated with Public Administration
•	Presents a trend analysis of the previous 10 years’ papers (2011 to 2020)
•	Contains conceptual mind maps, flowcharts, and diagrams</t>
        </is>
      </c>
      <c r="I91" s="6" t="inlineStr">
        <is>
          <t>Lohit Matani is an Indian Police Service (IPS) officer of the 2014 batch posted in the Maharashtra cadre. He has done B.Tech and M.Tech in Material Science and Technology from the Indian Institute of Technology (IIT), Banaras Hindu University (BHU), Varanasi. He has also done LLB from Maharashtra and is currently pursuing a Ph.D. in Cyber Crime from National Law University, Nagpur. Before this book, he has authored three more books- (1) Internal Security, (2) Introduction to Civil Services, (3) Public Administration and Public Policy (Volume 1) with OakBridge. Lohit loves interacting with the young students and candidates preparing for the civil services examination through his articles, blogs, and books. He is a writer of the blog “lohitmatani.wordpress.com”.</t>
        </is>
      </c>
      <c r="J91" s="4" t="n">
        <v>1</v>
      </c>
      <c r="K91" s="4" t="inlineStr">
        <is>
          <t>English</t>
        </is>
      </c>
      <c r="L91" s="4" t="inlineStr">
        <is>
          <t>PB</t>
        </is>
      </c>
      <c r="M91" s="6" t="inlineStr">
        <is>
          <t>India</t>
        </is>
      </c>
      <c r="N91" s="20" t="n">
        <v>44630</v>
      </c>
      <c r="O91" s="4" t="n">
        <v>878</v>
      </c>
      <c r="P91" s="44" t="n">
        <v>695</v>
      </c>
      <c r="Q91" s="6" t="n">
        <v>24</v>
      </c>
      <c r="R91" s="6" t="n">
        <v>18.5</v>
      </c>
      <c r="S91" s="6" t="n">
        <v>2.5</v>
      </c>
      <c r="T91" s="6" t="n">
        <v>1100</v>
      </c>
    </row>
    <row r="92" ht="20.1" customHeight="1">
      <c r="A92" s="6" t="n">
        <v>91</v>
      </c>
      <c r="B92" s="4" t="inlineStr">
        <is>
          <t>Law</t>
        </is>
      </c>
      <c r="C92" s="4" t="inlineStr">
        <is>
          <t>OakBridge</t>
        </is>
      </c>
      <c r="D92" s="10" t="n">
        <v>9789391032845</v>
      </c>
      <c r="E92" s="10" t="n">
        <v>9391032842</v>
      </c>
      <c r="F92" s="5" t="inlineStr">
        <is>
          <t>Dr Khagesh Gautam</t>
        </is>
      </c>
      <c r="G92" s="4" t="inlineStr">
        <is>
          <t>Cannabis Indica: Perception vs Potential</t>
        </is>
      </c>
      <c r="H92" s="6" t="inlineStr">
        <is>
          <t>Cannabis Indica: Perception vs Potential is a meticulous exposition on the historical and legal status of the Cannabis plant within the territory of India. The narrative traces the journey that the plant has traversed in the statute books and policies starting from the 1600s till date. The book also examines the use of Cannabis in India and other jurisdictions from the social, cultural, spiritual, and medicinal &amp; scientific perspectives. The detailed analysis of the Narcotic Drugs and Psychotropic Substances Act, 1985 provides insights on the criminalization of the use of the Cannabis plant. The discussion in the book offers several arguments, based on extensive research and documented academic works, on legalization of the use of Cannabis plant such that the benefits offered by the plant can be fully realised in a regulated environment. The book is addressed to lawyers, judges, policy-makers, and those interested in the subject.</t>
        </is>
      </c>
      <c r="I92" s="6" t="inlineStr">
        <is>
          <t>Hemp, Cannabis,Narcotic Drugs and Psychotropic Substances Act, 1985</t>
        </is>
      </c>
      <c r="J92" s="4" t="n">
        <v>1</v>
      </c>
      <c r="K92" s="4" t="inlineStr">
        <is>
          <t>English</t>
        </is>
      </c>
      <c r="L92" s="4" t="inlineStr">
        <is>
          <t>PB</t>
        </is>
      </c>
      <c r="M92" s="6" t="inlineStr">
        <is>
          <t>India</t>
        </is>
      </c>
      <c r="N92" s="20" t="n">
        <v>44630</v>
      </c>
      <c r="O92" s="4" t="n">
        <v>234</v>
      </c>
      <c r="P92" s="44" t="n">
        <v>695</v>
      </c>
      <c r="Q92" s="6" t="n">
        <v>24</v>
      </c>
      <c r="R92" s="6" t="n">
        <v>18.5</v>
      </c>
      <c r="S92" s="6" t="n">
        <v>2.5</v>
      </c>
      <c r="T92" s="6" t="n">
        <v>300</v>
      </c>
    </row>
    <row r="93" ht="20.1" customHeight="1">
      <c r="A93" s="6" t="n">
        <v>92</v>
      </c>
      <c r="B93" s="4" t="inlineStr">
        <is>
          <t>Academic</t>
        </is>
      </c>
      <c r="C93" s="4" t="inlineStr">
        <is>
          <t>Edge</t>
        </is>
      </c>
      <c r="D93" s="10" t="n">
        <v>9789391032654</v>
      </c>
      <c r="E93" s="10" t="n">
        <v>9391032656</v>
      </c>
      <c r="F93" s="5" t="inlineStr">
        <is>
          <t>Gazal Bharadwaj</t>
        </is>
      </c>
      <c r="G93" s="4" t="inlineStr">
        <is>
          <t>The Making of Modern India: Amidst the making of Modern World</t>
        </is>
      </c>
      <c r="H93" s="6" t="inlineStr">
        <is>
          <t>The Making of Modern India is a first of its kind attempt to provide a well-a rounded historical account of the processes of the making of Modern India &amp; the freedom struggle, rooted in the making of the Modern World. During her own Civil Services preparation, the author realised how these different themes of Modern India and Modern World history were scattered in different books. This inspired her to come up with a compilation where all these themes and processes of 'Modern' history can be contained in a single book with brevity and simplicity of understanding of a student.
Weaving in diverse themes such as colonialism &amp; imperialism, the Industrial Revolution, the French Revolution, the world wars, Great Depression with different strands of Indian freedom struggle this compilation focuses to explore the complicated pattern of shifts &amp; continuities of the Indian freedom struggle in a simple &amp; lucid manner. The reader shall not just be able to place &amp; compare these events in a timeline, but also understand how the two were cross-linked, and yet a part of the universal phenomenon of colonialism &amp; nationalism unleashed by the 'modern' world.
This book has been written &amp; compiled for competitive examinees, Civil Services aspirants, and general readers who are searching for a study of the past to address the concerns of the present.
Key features
•	Provides comprehensive coverage of the cross-linkages between Modern Indian History and the World History as per the UPSC syllabus
•	Comprises 15 detachable mind-map summaries for each chapter to aid the revision of the syllabus
•	Contains hand-drawn maps to help the aspirants in improving their answer-writing skills
•	Includes solution for Previous Year's Questions from 2013 to 2020</t>
        </is>
      </c>
      <c r="I93" s="6" t="inlineStr">
        <is>
          <t>Gazal Bharadwaj is an IAS officer of Uttar Pradesh Cadre. She is currently serving as the Chief Development Officer of Rampur. A civil engineer from GBPUAT, she did her Master’s in Public Administration and Management from JNU. A history enthusiast, a poet, and photographer she wishes to explore the concerns of modern administration with a better understanding of history.</t>
        </is>
      </c>
      <c r="J93" s="4" t="n">
        <v>1</v>
      </c>
      <c r="K93" s="4" t="inlineStr">
        <is>
          <t>English</t>
        </is>
      </c>
      <c r="L93" s="4" t="inlineStr">
        <is>
          <t>PB</t>
        </is>
      </c>
      <c r="M93" s="6" t="inlineStr">
        <is>
          <t>India</t>
        </is>
      </c>
      <c r="N93" s="20" t="n">
        <v>44652</v>
      </c>
      <c r="O93" s="4" t="n">
        <v>476</v>
      </c>
      <c r="P93" s="44" t="n">
        <v>595</v>
      </c>
      <c r="Q93" s="6" t="n">
        <v>24</v>
      </c>
      <c r="R93" s="6" t="n">
        <v>16</v>
      </c>
      <c r="S93" s="6" t="n">
        <v>2.5</v>
      </c>
      <c r="T93" s="6" t="n">
        <v>1660</v>
      </c>
    </row>
    <row r="94" ht="20.1" customHeight="1">
      <c r="A94" s="6" t="n">
        <v>93</v>
      </c>
      <c r="B94" s="4" t="inlineStr">
        <is>
          <t>Law</t>
        </is>
      </c>
      <c r="C94" s="4" t="inlineStr">
        <is>
          <t>OakBridge</t>
        </is>
      </c>
      <c r="D94" s="10" t="n">
        <v>9789391032937</v>
      </c>
      <c r="E94" s="10" t="n">
        <v>9391032931</v>
      </c>
      <c r="F94" s="5" t="inlineStr">
        <is>
          <t>R K Naroola
Udayan Mukerji</t>
        </is>
      </c>
      <c r="G94" s="4" t="inlineStr">
        <is>
          <t>Law of Bail</t>
        </is>
      </c>
      <c r="H94" s="6" t="inlineStr">
        <is>
          <t xml:space="preserve">Law of Bail in its second edition expands upon the analysis of the relevant provisions of the Code of Criminal Procedure, 1973 governing bail. The authors discuss the historical evolution of law of bail in India, its origins and its jurisprudential development. The concept and provisions relating to
post-conviction bail have been examined in detail in this edition. While examining the special statutes including The Unlawful Activities (Prevention) Act, 1967; The Prevention of Money Laundering Act, 2002; Narcotic Drugs and Psychotropic Substances Act, 1985; Protection of Children from Sexual Offences Act, 2012; and Juvenile Justice (Care and Protection of Children) Act, 2015; and The Copyright Act, 1957 and The Trade Marks Act, 1999; the authors have delved upon the need for such specific provisions relating to bail therein and the grounds for deviating from the principle of ‘bail not jail’.
The concluding chapter in the book summarizes the complete width of the canvas of law of bail and takes a multi-disciplinary view of the subject to expound on the shortcomings in the legal framework and possible solutions for it. The book will be of immense value to practitioners, judges, police officers, enforcement officers, policy makers, academicians and researchers.
</t>
        </is>
      </c>
      <c r="I94" s="6" t="inlineStr">
        <is>
          <t>R K Naroola is a leading legal practitioner and consultant with over 36 years of experience in advising and representing corporate and individual clients. He has acquired highly specialised experience in Collaborations, Joint Ventures, Banking, Industrial Relations, Labour Law, International Financial Institutions, Foreign Trade, Contract Law and Negotiations. He has been involved in setting up of companies and Joint Ventures both in India and abroad.
Udayan Mukerji is a retired IPS officer and a practicing advocate with specialization in criminal matters, torts, writ petitions, arbitration and contracts. He is a Patron Member of the Bar Association of India. During his career with the IPS, he functioned at various levels dealing with homeland and internal security, communications security and investigations into security deficiencies. He is the recipient of the Indian Police Medal for Meritorious Service and the President’s Medal for Distinguished Service.</t>
        </is>
      </c>
      <c r="J94" s="4" t="n">
        <v>2</v>
      </c>
      <c r="K94" s="4" t="inlineStr">
        <is>
          <t>English</t>
        </is>
      </c>
      <c r="L94" s="4" t="inlineStr">
        <is>
          <t>PB</t>
        </is>
      </c>
      <c r="M94" s="6" t="inlineStr">
        <is>
          <t>India</t>
        </is>
      </c>
      <c r="N94" s="20" t="n">
        <v>44652</v>
      </c>
      <c r="O94" s="4" t="n">
        <v>322</v>
      </c>
      <c r="P94" s="44" t="n">
        <v>695</v>
      </c>
      <c r="Q94" s="6" t="n">
        <v>24</v>
      </c>
      <c r="R94" s="6" t="n">
        <v>18.5</v>
      </c>
      <c r="S94" s="6" t="n">
        <v>2.5</v>
      </c>
      <c r="T94" s="6" t="n">
        <v>280</v>
      </c>
    </row>
    <row r="95" ht="20.1" customHeight="1">
      <c r="A95" s="6" t="n">
        <v>94</v>
      </c>
      <c r="B95" s="4" t="inlineStr">
        <is>
          <t>Law</t>
        </is>
      </c>
      <c r="C95" s="4" t="inlineStr">
        <is>
          <t>OakBridge</t>
        </is>
      </c>
      <c r="D95" s="10" t="n">
        <v>9789391032814</v>
      </c>
      <c r="E95" s="10" t="n">
        <v>9391032818</v>
      </c>
      <c r="F95" s="5" t="inlineStr">
        <is>
          <t>Viral Mehta</t>
        </is>
      </c>
      <c r="G95" s="4" t="inlineStr">
        <is>
          <t>Private Placement of Shares</t>
        </is>
      </c>
      <c r="H95" s="6" t="inlineStr">
        <is>
          <t>Private Placement of Shares: Deal-making and the Madisonian Dilemma is meant to serve as a practical guide to private-placement transactions in the Indian corporate context. The book also explores the so-called “Madisonian dilemma” upon which American constitutional democracy rests. The dilemma involves the search for the correct balance between two constitutional principles that are constantly in tension with each other. 
The law imposes a set of legal requirements on an Indian company proposing to undertake a private placement of its shares. The requirements are designed to safeguard not only the interests of the potential investor but of the shareholders of the company too. Since these statutory protections are, at times, suboptimal, transacting parties prefer to customize them by entering into contractual arrangements as part of their deal. The book explains both the regulatory regime, and the agreements typically entered into in connection with a private-placement transaction. In doing so, it aims to show how good deal-making is an art of fitting them together.
The book will be useful for practitioners, law firms, judges, financial advisory entities, academics, and students of law.</t>
        </is>
      </c>
      <c r="I95" s="6" t="inlineStr">
        <is>
          <t>Private Placement of Shares</t>
        </is>
      </c>
      <c r="J95" s="4" t="n">
        <v>1</v>
      </c>
      <c r="K95" s="4" t="inlineStr">
        <is>
          <t>English</t>
        </is>
      </c>
      <c r="L95" s="4" t="inlineStr">
        <is>
          <t>PB</t>
        </is>
      </c>
      <c r="M95" s="6" t="inlineStr">
        <is>
          <t>India</t>
        </is>
      </c>
      <c r="N95" s="20" t="n">
        <v>44652</v>
      </c>
      <c r="O95" s="4" t="n">
        <v>288</v>
      </c>
      <c r="P95" s="44" t="n">
        <v>695</v>
      </c>
      <c r="Q95" s="6" t="n">
        <v>24</v>
      </c>
      <c r="R95" s="6" t="n">
        <v>16</v>
      </c>
      <c r="S95" s="6" t="n">
        <v>2.5</v>
      </c>
      <c r="T95" s="6" t="n">
        <v>300</v>
      </c>
    </row>
    <row r="96" ht="20.1" customHeight="1">
      <c r="A96" s="6" t="n">
        <v>95</v>
      </c>
      <c r="B96" s="4" t="inlineStr">
        <is>
          <t>Tax</t>
        </is>
      </c>
      <c r="C96" s="4" t="inlineStr">
        <is>
          <t>OakBridge</t>
        </is>
      </c>
      <c r="D96" s="10" t="n">
        <v>9789391032852</v>
      </c>
      <c r="E96" s="10" t="n">
        <v>9391032850</v>
      </c>
      <c r="F96" s="5" t="inlineStr">
        <is>
          <t>Karthik Sundaram</t>
        </is>
      </c>
      <c r="G96" s="4" t="inlineStr">
        <is>
          <t>Tax, Constitution and the Supreme Court</t>
        </is>
      </c>
      <c r="H96" s="6" t="inlineStr">
        <is>
          <t>Tax, Constitution and the Supreme Court discusses the fundamental principles of taxation as expounded by the Supreme Court through its judicial pronouncements from 1950 till date in a simple and lucid manner. The second edition of the book incorporates a new chapter on the constitutional aspects of the Goods and Services Tax,  and examines the impact of the amendments in Constitution on the concepts of federalism and the demarcation between executive and legislative functions. 
The author seeks to trace the evolution of taxation laws in India, which entails an in-depth and comprehensive understanding of the constitutional provisions as well as the decisions of the Supreme Court. Presented in thematically arranged chapters, the book delves into the first principles and covers themes including Concept and components of a tax, Legislative power &amp; legislative fields, Territorial jurisdiction, Retrospective taxation, Tax planning versus evasion, and
Interpretation of Statutes.
The book will be useful for judges, practitioners, law firms, chartered accountants, tax consultants, academicians, students, and law schools.</t>
        </is>
      </c>
      <c r="I96" s="6" t="inlineStr">
        <is>
          <t>Karthik Sundaram is an independent advocate, practicing in the Madras High Court, with over a decade of experience in the field of taxation. He is the founder counsel of Karthik Law Chambers and extensively focuses on Indirect tax litigation and Commercial litigation including Customs, GST, erstwhile Service Tax, VAT, Excise, Trade Policy, Anti-dumping related measures and Arbitration. He has and continues to be involved in various high-stake tax disputes at the Supreme Court, High Court, and Tribunal level for various Fortune 500 companies, large multinational companies, and Indian businesses. He also regularly advises a wide spectrum of companies on a variety of tax related issues including GST.
Karthik has a significant number of articles on taxation to his credit and is a regular speaker at various conferences/seminars across India on the topic of taxation.</t>
        </is>
      </c>
      <c r="J96" s="4" t="n">
        <v>2</v>
      </c>
      <c r="K96" s="4" t="inlineStr">
        <is>
          <t>English</t>
        </is>
      </c>
      <c r="L96" s="4" t="inlineStr">
        <is>
          <t>PB</t>
        </is>
      </c>
      <c r="M96" s="6" t="inlineStr">
        <is>
          <t>India</t>
        </is>
      </c>
      <c r="N96" s="20" t="n">
        <v>44652</v>
      </c>
      <c r="O96" s="4" t="n">
        <v>358</v>
      </c>
      <c r="P96" s="44" t="n">
        <v>795</v>
      </c>
      <c r="Q96" s="6" t="n">
        <v>24</v>
      </c>
      <c r="R96" s="6" t="n">
        <v>16</v>
      </c>
      <c r="S96" s="6" t="n">
        <v>2.5</v>
      </c>
      <c r="T96" s="6" t="n">
        <v>620</v>
      </c>
    </row>
    <row r="97" ht="20.1" customHeight="1">
      <c r="A97" s="6" t="n">
        <v>96</v>
      </c>
      <c r="B97" s="4" t="inlineStr">
        <is>
          <t>Academic</t>
        </is>
      </c>
      <c r="C97" s="4" t="inlineStr">
        <is>
          <t>Edge</t>
        </is>
      </c>
      <c r="D97" s="10" t="n">
        <v>9789391032883</v>
      </c>
      <c r="E97" s="10" t="n">
        <v>9391032885</v>
      </c>
      <c r="F97" s="5" t="inlineStr">
        <is>
          <t>Sagar Srivastava</t>
        </is>
      </c>
      <c r="G97" s="4" t="inlineStr">
        <is>
          <t>MPPSC Mains Examination Series General Studies Paper 3 Volume I</t>
        </is>
      </c>
      <c r="H97" s="6" t="inlineStr">
        <is>
          <t>MPPSC General Studies Paper 3, Volume I is a comprehensive guidebook for aspirants of the MPPSC examination. It covers all the topics in Units 1 to 5 under Science and Technology of MPPSC General Studies Paper 3 as prescribed by the New MPPSC syllabus in a lucid manner with the help of diagrams and flowcharts. It also provides detailed insights on the basic principles of science (Physics, Chemistry, and Biology); Information &amp; Technology; and Numerical Ability (Numbers; Equations and Factors; Profit &amp; Loss; Percentage; Simple &amp; Compound Interest; Ratio &amp; Proportion; Probability, Statistics; and Measures of Dispersion).
Key features
•	Strictly mapped word by word according to the New Syllabus of MPPSC
•	Contains all the topics in Units 1 to 5 under Science and Technology of MPPSC General Studies Paper 3
•	Contains Unique Charts and Diagrams, which will help aspirants in scoring better
•	Presents the content in a concise form ensuring that every statement in the book is meaningful and important
•	Provides Solved Previous Year Papers of MPPSC GS Paper 3</t>
        </is>
      </c>
      <c r="I97" s="6" t="inlineStr">
        <is>
          <t>Sagar Srivastava is a Range Forest Officer with the Madhya Pradesh Government. Previously he has worked as Assistant System Engineer with Tata Consultancy Services (TCS) after completing his Bachelor of Engineering in Electronics and Communication. He has also been mentoring state services aspirants at various coaching institutes.</t>
        </is>
      </c>
      <c r="J97" s="4" t="n">
        <v>1</v>
      </c>
      <c r="K97" s="4" t="inlineStr">
        <is>
          <t>English</t>
        </is>
      </c>
      <c r="L97" s="4" t="inlineStr">
        <is>
          <t>PB</t>
        </is>
      </c>
      <c r="M97" s="6" t="inlineStr">
        <is>
          <t>India</t>
        </is>
      </c>
      <c r="N97" s="20" t="n">
        <v>44682</v>
      </c>
      <c r="O97" s="4" t="n">
        <v>380</v>
      </c>
      <c r="P97" s="44" t="n">
        <v>475</v>
      </c>
      <c r="Q97" s="6" t="n">
        <v>24</v>
      </c>
      <c r="R97" s="6" t="n">
        <v>16</v>
      </c>
      <c r="S97" s="6" t="n">
        <v>2.5</v>
      </c>
      <c r="T97" s="6" t="n">
        <v>400</v>
      </c>
    </row>
    <row r="98" ht="20.1" customHeight="1">
      <c r="A98" s="6" t="n">
        <v>97</v>
      </c>
      <c r="B98" s="4" t="inlineStr">
        <is>
          <t>Academic</t>
        </is>
      </c>
      <c r="C98" s="4" t="inlineStr">
        <is>
          <t>Edge</t>
        </is>
      </c>
      <c r="D98" s="10" t="n">
        <v>9789391032968</v>
      </c>
      <c r="E98" s="10" t="n">
        <v>9391032966</v>
      </c>
      <c r="F98" s="5" t="inlineStr">
        <is>
          <t>Sagar Srivastava</t>
        </is>
      </c>
      <c r="G98" s="4" t="inlineStr">
        <is>
          <t>MPPSC Mains Examination Series General Studies Paper 3 Volume II</t>
        </is>
      </c>
      <c r="H98" s="6" t="inlineStr">
        <is>
          <t>MPPSC General Studies Paper 3 Volume II is a comprehensive guidebook for aspirants of the MPPSC examination. It covers all the topics in Units 6 to 10 under Science and Technology of MPPSC General Studies Paper 3 as prescribed by the New MPPSC syllabus in a lucid manner with the help of diagrams and flowcharts. It also provides detailed insights on Science &amp; Technology; Environment &amp; Biodiversity; Ecological systems; Nutrition; Food and Nutrient; Human Body; Agricultural Product Technology; Food Processing; Health Policy and Programmes; Pollution; Natural Disasters &amp; its Management; and Geology.
Key features
•	Strictly mapped word by word according to New Syllabus of MPPSC
•	Contains all the topics in Units 6 to 10 under Science and Technology of MPPSC General Studies Paper 3
•	Contains Unique Charts and Diagrams, which will help aspirants in scoring better
•	Presents the content in a concise form ensuring that every statement in the book is meaningful and important
•	Provides Solved Previous Year Papers of MPPSC GS Paper 3</t>
        </is>
      </c>
      <c r="I98" s="6" t="inlineStr">
        <is>
          <t>Sagar Srivastava is a Range Forest Officer with the Madhya Pradesh Government. Previously he has worked as Assistant System Engineer with Tata Consultancy Services (TCS) after completing his Bachelor of Engineering in Electronics and Communication. He has also been mentoring state services aspirants at various coaching institutes.</t>
        </is>
      </c>
      <c r="J98" s="4" t="n">
        <v>1</v>
      </c>
      <c r="K98" s="4" t="inlineStr">
        <is>
          <t>English</t>
        </is>
      </c>
      <c r="L98" s="4" t="inlineStr">
        <is>
          <t>PB</t>
        </is>
      </c>
      <c r="M98" s="6" t="inlineStr">
        <is>
          <t>India</t>
        </is>
      </c>
      <c r="N98" s="20" t="n">
        <v>44682</v>
      </c>
      <c r="O98" s="4" t="n">
        <v>424</v>
      </c>
      <c r="P98" s="44" t="n">
        <v>525</v>
      </c>
      <c r="Q98" s="6" t="n">
        <v>24</v>
      </c>
      <c r="R98" s="6" t="n">
        <v>18.5</v>
      </c>
      <c r="S98" s="6" t="n">
        <v>2.5</v>
      </c>
      <c r="T98" s="6" t="n">
        <v>400</v>
      </c>
    </row>
    <row r="99" ht="20.1" customHeight="1">
      <c r="A99" s="6" t="n">
        <v>98</v>
      </c>
      <c r="B99" s="4" t="inlineStr">
        <is>
          <t>Academic</t>
        </is>
      </c>
      <c r="C99" s="4" t="inlineStr">
        <is>
          <t>Edge</t>
        </is>
      </c>
      <c r="D99" s="10" t="n">
        <v>9789391032081</v>
      </c>
      <c r="E99" s="10" t="n">
        <v>9391032087</v>
      </c>
      <c r="F99" s="5" t="inlineStr">
        <is>
          <t>R Rajagopalan</t>
        </is>
      </c>
      <c r="G99" s="4" t="inlineStr">
        <is>
          <t>Case Studies in Ethics, Integrity &amp; Aptitude</t>
        </is>
      </c>
      <c r="H99" s="6" t="inlineStr">
        <is>
          <t>Case Studies in Ethics, Integrity &amp; Aptitude is a unique book for the aspirants of the Civil Services Main Examination.
The book covers cases from all the areas mentioned in the syllabus of General Studies Paper IV of the Civil Services Examination (CSE). Given that 50% of marks in this Paper are for case studies, this book will help the aspirants hone the skills needed for resolving ethical cases. It is primarily intended for practising with a variety of case studies.
Key Features
•	113 realistic cases based on true stories, events, and news reports
•	Analysis of the pattern of cases that have appeared in General Studies Paper IV of CSE
•	Solved 125 practice cases
•	Fresh strategy and answer-writing methodology
•	Cases covering all areas of the UPSC GS Paper IV syllabus:
	Government officials facing ethical issues at work
	Business executives facing ethical issues at work
	Individuals facing ethical issues at work and in personal life
	Public policy issues
	Other areas of applied ethics
•	The book is supported by the author’s blog
Readers can visit the author’s blog (https://ethics-ias.blogspot.com/) for more cases and latest developments related to Ethics in Governance and also to seek clarifications on the topics covered in the book.</t>
        </is>
      </c>
      <c r="I99" s="6" t="inlineStr">
        <is>
          <t>R Rajagopalan, a former Professor at IIT Madras, has been a facilitator in a large number of programmes entitled Ethics in Public Governance for officers of the IAS and other central services as well as those from state governments and public sector units. These programmes are organized by Initiatives of Change (IC), Panchgani, and the IC Centre for Governance, Delhi.
Professor Rajagopalan is also the author of the very popular book Environment and Ecology: A Complete Guide for the Civil Services Preliminary and Main Examinations.</t>
        </is>
      </c>
      <c r="J99" s="4" t="n">
        <v>3</v>
      </c>
      <c r="K99" s="4" t="inlineStr">
        <is>
          <t>English</t>
        </is>
      </c>
      <c r="L99" s="4" t="inlineStr">
        <is>
          <t>PB</t>
        </is>
      </c>
      <c r="M99" s="6" t="inlineStr">
        <is>
          <t>India</t>
        </is>
      </c>
      <c r="N99" s="20" t="n">
        <v>44743</v>
      </c>
      <c r="O99" s="4" t="n">
        <v>348</v>
      </c>
      <c r="P99" s="44" t="n">
        <v>325</v>
      </c>
      <c r="Q99" s="6" t="n">
        <v>24</v>
      </c>
      <c r="R99" s="6" t="n">
        <v>18.5</v>
      </c>
      <c r="S99" s="6" t="n">
        <v>2.5</v>
      </c>
      <c r="T99" s="6" t="n">
        <v>340</v>
      </c>
    </row>
    <row r="100" ht="20.1" customHeight="1">
      <c r="A100" s="6" t="n">
        <v>99</v>
      </c>
      <c r="B100" s="4" t="inlineStr">
        <is>
          <t>Academic</t>
        </is>
      </c>
      <c r="C100" s="4" t="inlineStr">
        <is>
          <t>Edge</t>
        </is>
      </c>
      <c r="D100" s="10" t="n">
        <v>9789391032289</v>
      </c>
      <c r="E100" s="10" t="n">
        <v>9395764619</v>
      </c>
      <c r="F100" s="5" t="inlineStr">
        <is>
          <t>Sudhanshu Kumar</t>
        </is>
      </c>
      <c r="G100" s="4" t="inlineStr">
        <is>
          <t>CSAT: Practice Papers</t>
        </is>
      </c>
      <c r="H100" s="6" t="inlineStr">
        <is>
          <t>CSAT Practice Papers is a book written for the aspirants of Civil Services Examination. It will also help aspirants in various state services examinations.
The book contains solved practice papers and previous years’ UPSC questions on CSAT. It has been designed in a new learning style and special care has been taken to provide clarity on the concepts relating to complex questions. The book is the outcome of classroom experience of the author, and it seeks to educate the readers about various aspects of the subject in a simple and lucid manner. A unique feature of time-bound Live Online test has been provided for the aspirants.
The book will act as a comprehensive practice workbook for the aspirants, as it includes questions based on the latest pattern of CSAT.
Key Features
•	Comprises of 8 practice sets of CSAT with solutions
•	Includes solutions to the previous years’ UPSC questions on CSAT from the year 2011 to 2022
•	Incorporates access to time-bound Live Online test for the purpose of self-assessment
•	Explains smart techniques for solving complex questions</t>
        </is>
      </c>
      <c r="I100" s="6" t="inlineStr">
        <is>
          <t>Sudhanshu Kumar is associated with several premier Civil Services coaching institutes in Delhi, Bhubaneshwar, Bengaluru, and Patna. He holds Graduate and Post Graduate degree in Computer Science from Delhi. He has been guiding the aspirants of Civil Services examination for the last 10 years.</t>
        </is>
      </c>
      <c r="J100" s="4" t="n">
        <v>2</v>
      </c>
      <c r="K100" s="4" t="inlineStr">
        <is>
          <t>English</t>
        </is>
      </c>
      <c r="L100" s="4" t="inlineStr">
        <is>
          <t>PB</t>
        </is>
      </c>
      <c r="M100" s="6" t="inlineStr">
        <is>
          <t>India</t>
        </is>
      </c>
      <c r="N100" s="20" t="n">
        <v>44743</v>
      </c>
      <c r="O100" s="4" t="n">
        <v>426</v>
      </c>
      <c r="P100" s="44" t="n">
        <v>495</v>
      </c>
      <c r="Q100" s="6" t="n">
        <v>24</v>
      </c>
      <c r="R100" s="6" t="n">
        <v>18.5</v>
      </c>
      <c r="S100" s="6" t="n">
        <v>2.5</v>
      </c>
      <c r="T100" s="6" t="n">
        <v>500</v>
      </c>
    </row>
    <row r="101" ht="20.1" customHeight="1">
      <c r="A101" s="6" t="n">
        <v>100</v>
      </c>
      <c r="B101" s="4" t="inlineStr">
        <is>
          <t>Academic</t>
        </is>
      </c>
      <c r="C101" s="4" t="inlineStr">
        <is>
          <t>Edge</t>
        </is>
      </c>
      <c r="D101" s="10" t="n">
        <v>9789391032166</v>
      </c>
      <c r="E101" s="10" t="n">
        <v>9391032168</v>
      </c>
      <c r="F101" s="5" t="inlineStr">
        <is>
          <t>Alok S Jha</t>
        </is>
      </c>
      <c r="G101" s="4" t="inlineStr">
        <is>
          <t xml:space="preserve">Indian Culture Art and Heritage: An Illustrated Journey </t>
        </is>
      </c>
      <c r="H101" s="6" t="inlineStr">
        <is>
          <t>Indian Culture Art and Heritage: An Illustrated Journey, 3e delves deep into the various facets of Indian art and culture. It is written for aspirants of Civil Services Examination and State Services Examinations.
This book seeks to provide comprehensive information related to cultural heritage, ancient monuments, literary arts, visual arts, performing arts, fairs and festivals and handicraft of India. Chapters like Martial Arts in India, Indian Universities, Iconography in India, Indian Architecture, Dance and Dance Forms, etc. are included to enrich the content.
In the entire text, the key focus has been provided on three aspects-relevance, comprehensiveness and potential UPSC questions. In order to ensure relevance and comprehensiveness, due emphasis has been provided to cover the topics according to the syllabus of the Civil Services Examination. Keynote boxes have been provided to include important topics which are either asked or can be asked in Civil Services Examination.
The topics have been discussed in a comprehensive and systematic manner to ensure that all the useful study material should be included in one source. The purpose of this book is to simplify the complex concepts of culture through illustrations, tables, line diagrams, flowcharts and MCQs.
Key Features
•	Solved questions of Art and Culture from UPSC preliminary examinations of 2011 to 2022
•	Inclusion of a separate appendix on current developments in Indian Art and Culture
•	Supported with time-based online tests for self-assessment
•	Expert guidance through live chat</t>
        </is>
      </c>
      <c r="I101" s="6" t="inlineStr">
        <is>
          <t>Alok S Jha is the founding director of The Accord Administrative Institute (AAI). He graduated from Delhi University in History. He has also pursued LLB from Delhi University. He has been guiding students in subjects like History and Art &amp; Culture for civil services and state services examinations for the last 16 years. He is an established author and his book A Brief History of the Modern World and its Hindi version Vishwa ka Itihaas is popular among the students. During his academic career, he has successfully helped many students in cracking Civil Services Examination.</t>
        </is>
      </c>
      <c r="J101" s="4" t="n">
        <v>3</v>
      </c>
      <c r="K101" s="4" t="inlineStr">
        <is>
          <t>English</t>
        </is>
      </c>
      <c r="L101" s="4" t="inlineStr">
        <is>
          <t>PB</t>
        </is>
      </c>
      <c r="M101" s="6" t="inlineStr">
        <is>
          <t>India</t>
        </is>
      </c>
      <c r="N101" s="20" t="n">
        <v>44743</v>
      </c>
      <c r="O101" s="4" t="n">
        <v>598</v>
      </c>
      <c r="P101" s="44" t="n">
        <v>595</v>
      </c>
      <c r="Q101" s="6" t="n">
        <v>24</v>
      </c>
      <c r="R101" s="6" t="n">
        <v>18.5</v>
      </c>
      <c r="S101" s="6" t="n">
        <v>2.5</v>
      </c>
      <c r="T101" s="6" t="n">
        <v>700</v>
      </c>
    </row>
    <row r="102" ht="20.1" customHeight="1">
      <c r="A102" s="6" t="n">
        <v>101</v>
      </c>
      <c r="B102" s="4" t="inlineStr">
        <is>
          <t>Law</t>
        </is>
      </c>
      <c r="C102" s="4" t="inlineStr">
        <is>
          <t>OakBridge</t>
        </is>
      </c>
      <c r="D102" s="10" t="n">
        <v>9789391032227</v>
      </c>
      <c r="E102" s="10" t="n">
        <v>9391032222</v>
      </c>
      <c r="F102" s="5" t="inlineStr">
        <is>
          <t>Justice Sudhir Kumar Katriar</t>
        </is>
      </c>
      <c r="G102" s="4" t="inlineStr">
        <is>
          <t>Saga of the Three Top Courts of India (2 Vol. Set)</t>
        </is>
      </c>
      <c r="H102" s="6" t="inlineStr">
        <is>
          <t>Saga of the Three Top Courts of India traces the history and evolution of the Supreme Court of India through an historical exposition on its predecessors commencing from the Privy Council through to the Federal Court and the Constituent Assembly. The book comprises four parts. Part- I gives a short history of the Judicial Committee of the Privy Council to the extent it exercised jurisdiction over British India, Part –II gives a brief history of Federal Court of India, Part –III summaries the deliberations of the Constituent Assembly with respect to the judiciary and to ensure a truly independent judiciary in free India, and Part- IV gives a brief history of the Supreme Court of India and still counting.</t>
        </is>
      </c>
      <c r="I102" s="6" t="inlineStr">
        <is>
          <t>Justice Sudhir Kumar Katriar is a former Judge of the Patna High Court. He was enrolled as an advocate in 1973, and practised in diverse fields including civil and criminal laws, industrial &amp; corporate laws, constitutional laws. He was elevated to the Bench of the Patna High Court in March 1999, and as a judge he delivered judgements on wide ranging issues until his retirement in 2011. He is also an avid golfer.</t>
        </is>
      </c>
      <c r="J102" s="4" t="n">
        <v>1</v>
      </c>
      <c r="K102" s="4" t="inlineStr">
        <is>
          <t>English</t>
        </is>
      </c>
      <c r="L102" s="4" t="inlineStr">
        <is>
          <t>HB</t>
        </is>
      </c>
      <c r="M102" s="6" t="inlineStr">
        <is>
          <t>India</t>
        </is>
      </c>
      <c r="N102" s="20" t="n">
        <v>44743</v>
      </c>
      <c r="O102" s="4" t="n">
        <v>1954</v>
      </c>
      <c r="P102" s="44" t="n">
        <v>4995</v>
      </c>
      <c r="Q102" s="6" t="n">
        <v>24</v>
      </c>
      <c r="R102" s="6" t="n">
        <v>18.5</v>
      </c>
      <c r="S102" s="6" t="n">
        <v>2.5</v>
      </c>
      <c r="T102" s="6" t="n">
        <v>4000</v>
      </c>
    </row>
    <row r="103" ht="20.1" customHeight="1">
      <c r="A103" s="6" t="n">
        <v>102</v>
      </c>
      <c r="B103" s="4" t="inlineStr">
        <is>
          <t>Academic</t>
        </is>
      </c>
      <c r="C103" s="4" t="inlineStr">
        <is>
          <t>Edge</t>
        </is>
      </c>
      <c r="D103" s="10" t="n">
        <v>9789391032043</v>
      </c>
      <c r="E103" s="10" t="n">
        <v>9391032044</v>
      </c>
      <c r="F103" s="5" t="inlineStr">
        <is>
          <t>Dr Nitesh Dhawan</t>
        </is>
      </c>
      <c r="G103" s="4" t="inlineStr">
        <is>
          <t>Indian Society: Perspectives and Issues</t>
        </is>
      </c>
      <c r="H103" s="6" t="inlineStr">
        <is>
          <t>Indian Society: Perspectives and Issues delves deep into an account of the contemporary issues of Indian society, analyses it from different viewpoints and submits solutions for better understanding.
The civil service aspirants are expected to have both extensive and intensive knowledge about various disciplines. Indian society is one of the key areas of general studies paper which needs basic conceptual understanding of existing social structure along with contemporary issues confronting society at large. India is unique among galaxy of nations across the globe owing to its pluralistic and heterogenous character having different dimensions.
The book presents several perspectives to understand the intricacies of such a multifaceted social system. This book is a deliberate attempt to present various concepts into simplified ways in order to develop clarity of understanding for the aspirants.
Features
•	Comprises of diagrams, charts, and updated facts with discussions on current debates
•	Includes answer writing methodology, practice questions and answers
•	Analytical and Illustrative Approach for Better understanding</t>
        </is>
      </c>
      <c r="I103" s="6" t="inlineStr">
        <is>
          <t>Dr Nitesh Dhawan is working as State Director, KVIC (Ministry of Micro, Small and Medium Enterprises, Government of India). He was also Ex- Visiting Faculty of the Department of Social Work at University of Lucknow, UP. He loves interacting with the young students and candidates preparing for the civil services examination through his articles, blogs, and books.</t>
        </is>
      </c>
      <c r="J103" s="4" t="n">
        <v>1</v>
      </c>
      <c r="K103" s="4" t="inlineStr">
        <is>
          <t>English</t>
        </is>
      </c>
      <c r="L103" s="4" t="inlineStr">
        <is>
          <t>PB</t>
        </is>
      </c>
      <c r="M103" s="6" t="inlineStr">
        <is>
          <t>India</t>
        </is>
      </c>
      <c r="N103" s="20" t="n">
        <v>44774</v>
      </c>
      <c r="O103" s="4" t="n">
        <v>354</v>
      </c>
      <c r="P103" s="44" t="n">
        <v>425</v>
      </c>
      <c r="Q103" s="6" t="n">
        <v>24</v>
      </c>
      <c r="R103" s="6" t="n">
        <v>16</v>
      </c>
      <c r="S103" s="6" t="n">
        <v>2.5</v>
      </c>
      <c r="T103" s="6" t="n">
        <v>450</v>
      </c>
    </row>
    <row r="104" ht="20.1" customHeight="1">
      <c r="A104" s="6" t="n">
        <v>103</v>
      </c>
      <c r="B104" s="4" t="inlineStr">
        <is>
          <t>Academic</t>
        </is>
      </c>
      <c r="C104" s="4" t="inlineStr">
        <is>
          <t>Edge</t>
        </is>
      </c>
      <c r="D104" s="10" t="n">
        <v>9789391032388</v>
      </c>
      <c r="E104" s="10" t="n">
        <v>9391032389</v>
      </c>
      <c r="F104" s="5" t="inlineStr">
        <is>
          <t>OakBridge</t>
        </is>
      </c>
      <c r="G104" s="4" t="inlineStr">
        <is>
          <t>Samanya Gyan (Hindi)</t>
        </is>
      </c>
      <c r="H104" s="6" t="inlineStr">
        <is>
          <t xml:space="preserve">
सामान्य ज्ञान का यह द्वितीय संस्करण  सभी प्रतियोगी परीक्षाओं को ध्यान में रखकर लिखा गया है। इस पुस्तक में विभिन्न सरकारी प्रतियोगी परीक्षाओं में पूछे जाने वाले विषयों, जैसे कि कला एवं संस्कृति, इतिहास, भूगोल, राजव्यवस्था एवं शासन, अर्थव्यवस्था, पर्यावरण, विज्ञान एवं तकनीकि आदि विषयों पर परीक्षा-उपयोगी प्रसंगों एवं तथ्यों का समुचित संकलन किया गया है। अभ्यर्थियों की बेहतर समझ हेतु, तथ्यों की प्रस्तुति के साथ-साथ उनकी एक सारगर्भित पृष्ठभूमि भी दी गयी है| अद्यतन आंकड़ों से परिपूर्ण यह पुस्तक, कम समय में अभ्यर्थियों को सामान्य ज्ञान के विभिन्न विषयों पर मजबूत पकड़ बनाने में काफी प्रभावी सिद्ध होगी। 
प्रमुख विशेषताएँ 
•	NCERT-आधारित सामान्य ज्ञान की प्रस्तुति प्रसंगों की पृष्ठभूमि का संक्षिप्त विवरण
•	900 से अधिक वस्तुनिष्ठ अभ्यास प्रश्नों का संग्रह
•	पिक्टोग्राफिक प्रस्तुति 
•	जनसंख्या एवं नगरीकरण का परीक्षा उपयोगी विश्लेषण
•	भारत के सभी राज्यों का संक्षिप्त परिचय</t>
        </is>
      </c>
      <c r="I104" s="6" t="inlineStr">
        <is>
          <t>The book has been prepared by the Content Team of Oakbridge under the guidance of faculties.</t>
        </is>
      </c>
      <c r="J104" s="4" t="n">
        <v>2</v>
      </c>
      <c r="K104" s="4" t="inlineStr">
        <is>
          <t>Hindi</t>
        </is>
      </c>
      <c r="L104" s="4" t="inlineStr">
        <is>
          <t>PB</t>
        </is>
      </c>
      <c r="M104" s="6" t="inlineStr">
        <is>
          <t>India</t>
        </is>
      </c>
      <c r="N104" s="20" t="n">
        <v>44774</v>
      </c>
      <c r="O104" s="4" t="n">
        <v>778</v>
      </c>
      <c r="P104" s="44" t="n">
        <v>495</v>
      </c>
      <c r="Q104" s="6" t="n">
        <v>24</v>
      </c>
      <c r="R104" s="6" t="n">
        <v>18.5</v>
      </c>
      <c r="S104" s="6" t="n">
        <v>2.5</v>
      </c>
      <c r="T104" s="6" t="n">
        <v>600</v>
      </c>
    </row>
    <row r="105" ht="20.1" customHeight="1">
      <c r="A105" s="6" t="n">
        <v>104</v>
      </c>
      <c r="B105" s="4" t="inlineStr">
        <is>
          <t>Law</t>
        </is>
      </c>
      <c r="C105" s="4" t="inlineStr">
        <is>
          <t>OakBridge</t>
        </is>
      </c>
      <c r="D105" s="10" t="n">
        <v>9789391032371</v>
      </c>
      <c r="E105" s="10" t="n">
        <v>9391032370</v>
      </c>
      <c r="F105" s="5" t="inlineStr">
        <is>
          <t>Maj Gen Nilendra Kumar</t>
        </is>
      </c>
      <c r="G105" s="4" t="inlineStr">
        <is>
          <t>Protection of Children from Sexual Offences Act, 2012 – An Analysis</t>
        </is>
      </c>
      <c r="H105" s="6" t="inlineStr">
        <is>
          <t>Protection of Children from Sexual Offences Act, 2012 – An Analysis is a section-wise commentary and is written in a lucid language to facilitate understanding of the subject. The author has comprehensively explained the key terms that have an influence on the interpretation of the provisions. The landmark decisions of the Supreme Court and the High Courts that have furthered the jurisprudence on the subject has been incorporated. With the aim to aid the readers with the procedural aspects of the legal framework, the Protection of Children from Sexual Offences Rules, 2020 has been discussed in detail. The legislative background of the POCSO Act has been delved into in the book helping the readers to fully appreciate the intent and purpose of the enactment. The book will be of use to practitioners, adjudicators, enforcement agencies, academicians, and students.</t>
        </is>
      </c>
      <c r="I105" s="6" t="inlineStr">
        <is>
          <t>Maj Gen Nilendra Kumar has over 50 years of experience of working extensively across the legal space– from the government to educational institutions; international non-government agencies and corporates. He was awarded Ati Vishisht Seva Medal and Vishisht Seva Medal for his contributions as Judge Advocate General of the Indian Army, where he served for 28 years. Under his able stewardship, the Amity Law School, Noida was selected for the coveted Institutional Excellence Award in 2013. He has authored/edited several books of which many have seen multiple editions, including Rethinking Palkhivala: Centenary Commemorative Volume and Constitution of India: MCQs, Essays, &amp; Audio Lectures with Oakbridge Publishing.</t>
        </is>
      </c>
      <c r="J105" s="4" t="n">
        <v>1</v>
      </c>
      <c r="K105" s="4" t="inlineStr">
        <is>
          <t>English</t>
        </is>
      </c>
      <c r="L105" s="4" t="inlineStr">
        <is>
          <t>PB</t>
        </is>
      </c>
      <c r="M105" s="6" t="inlineStr">
        <is>
          <t>India</t>
        </is>
      </c>
      <c r="N105" s="20" t="n">
        <v>44774</v>
      </c>
      <c r="O105" s="4" t="n">
        <v>334</v>
      </c>
      <c r="P105" s="44" t="n">
        <v>795</v>
      </c>
      <c r="Q105" s="6" t="n">
        <v>24</v>
      </c>
      <c r="R105" s="6" t="n">
        <v>18.5</v>
      </c>
      <c r="S105" s="6" t="n">
        <v>2.5</v>
      </c>
      <c r="T105" s="6" t="n">
        <v>300</v>
      </c>
    </row>
    <row r="106" ht="20.1" customHeight="1">
      <c r="A106" s="6" t="n">
        <v>105</v>
      </c>
      <c r="B106" s="4" t="inlineStr">
        <is>
          <t>Tax</t>
        </is>
      </c>
      <c r="C106" s="4" t="inlineStr">
        <is>
          <t>OakBridge</t>
        </is>
      </c>
      <c r="D106" s="10" t="n">
        <v>9789391032258</v>
      </c>
      <c r="E106" s="10" t="n">
        <v>9391032257</v>
      </c>
      <c r="F106" s="5" t="inlineStr">
        <is>
          <t>Subhash Jangala &amp; Amrit Agrahari</t>
        </is>
      </c>
      <c r="G106" s="4" t="inlineStr">
        <is>
          <t>Greed - Powering Some of the Most Creative Frauds in Human History</t>
        </is>
      </c>
      <c r="H106" s="6" t="inlineStr">
        <is>
          <t>Greed - Powering Some of the Most Creative Frauds in Human History unravels some of the most innovative financial frauds that have been conceived and executed in human history through the lens of the key driver behind it. The authors delve into the minds of the fraudsters while presenting an objective assessment of how each of these frauds was designed and accomplished. Written in a lucid and engaging language, the flow of the narrative will take the readers through each step in the fraudulent enterprise. For investigators, who deal with the unearthing of frauds, they will gain from a better understanding of the motives behind these deceptive ploys, primarily greed. It will assist the stakeholders in pre-empting and protecting themselves from becoming the next victim. The human agency behind the curtains runs the show, and the organisational façade/scheme is only an apparatus at its disposal. It is therefore crucial to not just focus on the numbers, the documents, and the contraption, but the showma(e)n behind it.
This book aims to offer unique insights into the working of a common human emotion ‘greed’ that has driven and continues to drive some of the most creative financial frauds that humankind has witnessed. The book will be useful to legal and tax professionals, including litigators; investigators;
consultants and leaders; enforcement agencies; judges; government officials; policy-makers; academicians; and students.</t>
        </is>
      </c>
      <c r="I106" s="6" t="inlineStr">
        <is>
          <t>Subhash Jangala is an officer of the Indian Revenue Service. He has extensive experience in tax administration including investigation, tax policy, international negotiations, media,  communication and taxpayer outreach. He has represented India at multiple international fora. He contributes occasionally to English dailies. 
Amrit Agrahari is an officer of the Indian Revenue Service. He has a wide experience in tax audit and enforcement, international tax law and policy, international tax disputes, and exchange of information for tackling cross border tax investigation. He has represented India at various fora.</t>
        </is>
      </c>
      <c r="J106" s="4" t="n">
        <v>1</v>
      </c>
      <c r="K106" s="4" t="inlineStr">
        <is>
          <t>English</t>
        </is>
      </c>
      <c r="L106" s="4" t="inlineStr">
        <is>
          <t>PB</t>
        </is>
      </c>
      <c r="M106" s="6" t="inlineStr">
        <is>
          <t>India</t>
        </is>
      </c>
      <c r="N106" s="20" t="n">
        <v>44805</v>
      </c>
      <c r="O106" s="4" t="n">
        <v>256</v>
      </c>
      <c r="P106" s="44" t="n">
        <v>795</v>
      </c>
      <c r="Q106" s="6" t="n">
        <v>24</v>
      </c>
      <c r="R106" s="6" t="n">
        <v>16</v>
      </c>
      <c r="S106" s="6" t="n">
        <v>2.5</v>
      </c>
      <c r="T106" s="6" t="n">
        <v>400</v>
      </c>
    </row>
    <row r="107" ht="20.1" customHeight="1">
      <c r="A107" s="6" t="n">
        <v>106</v>
      </c>
      <c r="B107" s="4" t="inlineStr">
        <is>
          <t>Tax</t>
        </is>
      </c>
      <c r="C107" s="4" t="inlineStr">
        <is>
          <t>OakBridge</t>
        </is>
      </c>
      <c r="D107" s="10" t="n">
        <v>9789391032456</v>
      </c>
      <c r="E107" s="10" t="n">
        <v>9391032451</v>
      </c>
      <c r="F107" s="5" t="inlineStr">
        <is>
          <t>Parthasarathi Shome</t>
        </is>
      </c>
      <c r="G107" s="4" t="inlineStr">
        <is>
          <t>Prevailing and Emerging Dilemmas in International Taxation</t>
        </is>
      </c>
      <c r="H107" s="6" t="inlineStr">
        <is>
          <t>Prevailing and Emerging Dilemmas in International Taxation presents an array of research papers encompassing the raging issues that confront the international tax community today because of a digitalized borderless world of commerce. However borderless the world of commerce has become owing to digitalization, nations remain divided by borders when it comes to taxation. This appositional issue has been discussed comprehensively in the chapters with scholarly insights. 
(i)	The new global tax order that is emerging from the global organizations like OECD/G20 and the UN to border the borderless world attempts to resolve the challenge of equitable distribution of taxing rights between the developed and the developing world. The residence and market jurisdictions have been debated at length in this volume. 
(ii)	The chapters deal with a range of topics that have sparked the debate on international taxation – 
(a)	the issue of accepting source principle over residence, the perspectives of the UN Model Convention,
(b)	the debate on OECD’s Pillar One and Pillar Two proposals, and 
(c)	the Global Minimum Tax. 
(iii)	Additionally, certain other interesting topics have been included in this volume, for example, 
(a)	various aspects of the taxation of the gig economy, 
(b)	tax challenges of financial innovations, such as SPACs, 
(c)	Indian experiences in investment arbitration, and critical evaluation of faceless assessment in India, shedding light on grey areas. 
(iv)	The chapter on retroactive taxation is a very relevant addition to the bouquet of tax issues that impact the mobility of investments globally. 
(v)	And finally, the critical evaluation of GST has made the volume a very well-rounded compendium.
The volume has retained its uniqueness by continuing with rejoinders from the co-authors, providing multiple views on each topic. The volume has also maintained an international flavour by bringing in authors from around the world.</t>
        </is>
      </c>
      <c r="I107" s="6" t="inlineStr">
        <is>
          <t>Parthasarathi Shome is currently Chairman, ITRAF, Bengaluru, and Visiting Senior Fellow, London School of Economics. He was Adviser (Minister of State) to the Indian Finance Minister, and chaired India’s Tax Administration Reform Commission (TARC). He has held various positions, including Chief Economist, UK Revenue and Customs; Chief of Tax Policy, IMF; and Professor, American University, Washington DC. His work on GAAR and retrospective taxation is widely cited. He is a recipient of Brazil’s highest civilian honour, Commander of the Order of the Southern Cross, for his contributions to Brazilian fiscal reform. He is widely published in international peer reviewed journals and books and is invited to speak across the globe.</t>
        </is>
      </c>
      <c r="J107" s="4" t="n">
        <v>1</v>
      </c>
      <c r="K107" s="4" t="inlineStr">
        <is>
          <t>English</t>
        </is>
      </c>
      <c r="L107" s="4" t="inlineStr">
        <is>
          <t>HB</t>
        </is>
      </c>
      <c r="M107" s="6" t="inlineStr">
        <is>
          <t>India</t>
        </is>
      </c>
      <c r="N107" s="20" t="n">
        <v>44805</v>
      </c>
      <c r="O107" s="4" t="n">
        <v>330</v>
      </c>
      <c r="P107" s="44" t="n">
        <v>1250</v>
      </c>
      <c r="Q107" s="6" t="n">
        <v>24</v>
      </c>
      <c r="R107" s="6" t="n">
        <v>16</v>
      </c>
      <c r="S107" s="6" t="n">
        <v>2.5</v>
      </c>
      <c r="T107" s="6" t="n">
        <v>700</v>
      </c>
    </row>
    <row r="108" ht="20.1" customHeight="1">
      <c r="A108" s="6" t="n">
        <v>107</v>
      </c>
      <c r="B108" s="4" t="inlineStr">
        <is>
          <t>Academic</t>
        </is>
      </c>
      <c r="C108" s="4" t="inlineStr">
        <is>
          <t>Edge</t>
        </is>
      </c>
      <c r="D108" s="10" t="n">
        <v>9789391032524</v>
      </c>
      <c r="E108" s="10" t="n">
        <v>9391032524</v>
      </c>
      <c r="F108" s="5" t="inlineStr">
        <is>
          <t>OakBridge</t>
        </is>
      </c>
      <c r="G108" s="4" t="inlineStr">
        <is>
          <t>International Organisations, Conferences and Treaties</t>
        </is>
      </c>
      <c r="H108" s="6" t="inlineStr">
        <is>
          <t>International Organisations, Conferences and Treaties is a comprehensive text specifically aimed for the aspirants of Civil Services examination. It will also be useful for those appearing in various State Services examinations.
The book is divided into eight chapters which are grouped as- United Nations and Its Organs; Regional Organisations; Non-Regional Groupings; Financial, Trade and Customs Organisations; Military Alliance-Security Related Organisations; Organisations related to the Environment/Sustainability; Maritime and Fisheries Organisations; and Organisation for Specific Purpose-Human Rights/NGOs/Charities. It also summarises important conferences, conventions, and treaties, besides giving a resume of recent developments relating to the institutions.
This book is a first-of-its-kind attempt to provide a single book with brevity and simplicity that ease the Civil Services preparation journey of aspirants.
Key Features
•	Insights on the recent developments relating to the institutions Conferences and Treaties
•	Includes the recent initiatives taken by India to boost its international presence
•	Provides important facts about the institutions Conferences and Treaties as appendixes
•	Includes Previous Years Questions (2011-2022)</t>
        </is>
      </c>
      <c r="I108" s="6" t="inlineStr">
        <is>
          <t>OakBridge</t>
        </is>
      </c>
      <c r="J108" s="4" t="n">
        <v>1</v>
      </c>
      <c r="K108" s="4" t="inlineStr">
        <is>
          <t>English</t>
        </is>
      </c>
      <c r="L108" s="4" t="inlineStr">
        <is>
          <t>PB</t>
        </is>
      </c>
      <c r="M108" s="6" t="inlineStr">
        <is>
          <t>India</t>
        </is>
      </c>
      <c r="N108" s="20" t="n">
        <v>44835</v>
      </c>
      <c r="O108" s="4" t="n">
        <v>216</v>
      </c>
      <c r="P108" s="44" t="n">
        <v>245</v>
      </c>
      <c r="Q108" s="6" t="n">
        <v>24</v>
      </c>
      <c r="R108" s="6" t="n">
        <v>16</v>
      </c>
      <c r="S108" s="6" t="n">
        <v>2.5</v>
      </c>
      <c r="T108" s="6" t="n">
        <v>280</v>
      </c>
    </row>
    <row r="109" ht="20.1" customHeight="1">
      <c r="A109" s="6" t="n">
        <v>108</v>
      </c>
      <c r="B109" s="4" t="inlineStr">
        <is>
          <t>Academic</t>
        </is>
      </c>
      <c r="C109" s="4" t="inlineStr">
        <is>
          <t>Edge</t>
        </is>
      </c>
      <c r="D109" s="10" t="n">
        <v>9789395764001</v>
      </c>
      <c r="E109" s="10" t="inlineStr">
        <is>
          <t>B0C5J263XW</t>
        </is>
      </c>
      <c r="F109" s="5" t="inlineStr">
        <is>
          <t>A P Bhardwaj</t>
        </is>
      </c>
      <c r="G109" s="4" t="inlineStr">
        <is>
          <t>Compulsory English</t>
        </is>
      </c>
      <c r="H109" s="6" t="inlineStr">
        <is>
          <t>The 4th edition of Compulsory English has been fully revised and updated. It has been updated with section-wise solved papers of IAS (MAINS) COMPULSORY ENGLISH 2021 &amp; 2022. The new edition will enable students to read, comprehend, and learn from the past 12 years (2022-2011) section-wise solved segments on Grammar, Vocabulary, Precis, Comprehension &amp; Sentence Correction. The book covers the subject comprehensively in 5 parts with an extensive repository of explanations, examples, practice tests &amp; previous years’ questions with solutions; that aid the students in learning and retaining the concepts and equips them to apply them in different scenarios.
The online feedback by verified customers in the public domain is a guiding post for the public to judge the quality of the book and upholds the quality claims of the book and corroborates its NUMBER ONE NATIONAL BEST SELLER POSITION for 12 years consecutively. Its PAN INDIA reach is a testimony to its national popularity. The content provided is tested in classroom settings through the pedagogical skills and 20 years of teaching experience of its author, A P BHARDWAJ.
THE BOOK INCLUDES
Part A: Elements of Grammar 
Part B: Vocabulary Building
Part C: Essentials of Composition 
Part D: Assessing Level
Part E: Art of Translation</t>
        </is>
      </c>
      <c r="I109" s="6" t="inlineStr">
        <is>
          <t xml:space="preserve">
A P BHARDWAJ is an established author of the best-selling books on English and Essays papers for UPSC, STATES CIVIL AND JUDICIAL SERVICES EXAMINATIONS. He has the credit of being instrumental in the success of umpteen number of students in entering national law universities and is known as CLAT GURU. He has been publishing for the last fifteen years and is the author of more than a dozen popular titles published by nationally and internationally acclaimed publishers.
He is popular in the tri-city of Chandigarh-Mohali-Panchkula for imparting coaching for English and Essay Writing for Civil &amp; Judicial Services Examinations. He is also a highly sought-after trainer on YouTube.
</t>
        </is>
      </c>
      <c r="J109" s="4" t="n">
        <v>4</v>
      </c>
      <c r="K109" s="4" t="inlineStr">
        <is>
          <t>English</t>
        </is>
      </c>
      <c r="L109" s="4" t="inlineStr">
        <is>
          <t>PB</t>
        </is>
      </c>
      <c r="M109" s="6" t="inlineStr">
        <is>
          <t>India</t>
        </is>
      </c>
      <c r="N109" s="20" t="n">
        <v>44866</v>
      </c>
      <c r="O109" s="4" t="n">
        <v>682</v>
      </c>
      <c r="P109" s="44" t="n">
        <v>540</v>
      </c>
      <c r="Q109" s="6" t="n">
        <v>24</v>
      </c>
      <c r="R109" s="6" t="n">
        <v>18.5</v>
      </c>
      <c r="S109" s="6" t="n">
        <v>2.5</v>
      </c>
      <c r="T109" s="6" t="n">
        <v>800</v>
      </c>
    </row>
    <row r="110" ht="20.1" customHeight="1">
      <c r="A110" s="6" t="n">
        <v>109</v>
      </c>
      <c r="B110" s="4" t="inlineStr">
        <is>
          <t>Academic</t>
        </is>
      </c>
      <c r="C110" s="4" t="inlineStr">
        <is>
          <t>Edge</t>
        </is>
      </c>
      <c r="D110" s="10" t="n">
        <v>9789391032197</v>
      </c>
      <c r="E110" s="10" t="n">
        <v>9391032192</v>
      </c>
      <c r="F110" s="5" t="inlineStr">
        <is>
          <t>R Rajagopalan</t>
        </is>
      </c>
      <c r="G110" s="4" t="inlineStr">
        <is>
          <t>Ethics, Integrity and Aptitude</t>
        </is>
      </c>
      <c r="H110" s="6" t="inlineStr">
        <is>
          <t xml:space="preserve">
Ethics, Integrity, and Aptitude is a unique book. The structure and contents of the Second Edition follow a fresh strategy for the UPSC Ethics Paper based on:
•	A detailed analysis of all the past question papers.
•	Suggestions made by toppers.
The special features of the book:
•	Fresh strategy for Theory and Case Studies, with the chapters revised, rewritten, and rearranged accordingly.
•	Logical flow of chapters, easy to read and understand, covering the full syllabus.
•	Focus on the foundational values and keywords.
•	All the UPSC questions and 25 case studies for practice.
•	A typology of the UPSC case studies with guidelines for case analysis and answer-writing.
•	Over 100 anecdotes, stories, and poems to excite your interest and teach you the principles of ethics.
•	Over 300 relevant quotations for practice.
•	More focus on practice and less on ethical theories.
•	Coverage of the relevant parts of the Second ARC Report.
•	Glossary of Terms.
Finally, the book makes you reflect on your life and ethics, enabling you to give authentic answers in the examination. The companion book: Rajagopalan, R., Case Studies in Ethics, Integrity and Aptitude for the Civil Services Main Examination, Third Edition, includes solutions for all the UPSC Questions and 125 Practice Case Studies.
</t>
        </is>
      </c>
      <c r="I110" s="6" t="inlineStr">
        <is>
          <t>R Rajagopalan, a former Professor at IIT Madras, has been a facilitator in a number of programmes on Ethics in Public Governance for officers of the IAS and other central services as well as those from state governments and public sector units. These programmes are organized by Initiatives of Change (IC), Panchgani, and the IC Centre for Governance, Delhi. Professor Rajagopalan is also the author of the very popular book Environment and Ecology: A Complete Guide for the Civil Services Examination (Third Edition, 2022).</t>
        </is>
      </c>
      <c r="J110" s="4" t="n">
        <v>2</v>
      </c>
      <c r="K110" s="4" t="inlineStr">
        <is>
          <t>English</t>
        </is>
      </c>
      <c r="L110" s="4" t="inlineStr">
        <is>
          <t>PB</t>
        </is>
      </c>
      <c r="M110" s="6" t="inlineStr">
        <is>
          <t>India</t>
        </is>
      </c>
      <c r="N110" s="20" t="n">
        <v>44866</v>
      </c>
      <c r="O110" s="4" t="n">
        <v>470</v>
      </c>
      <c r="P110" s="44" t="n">
        <v>550</v>
      </c>
      <c r="Q110" s="6" t="n">
        <v>24</v>
      </c>
      <c r="R110" s="6" t="n">
        <v>18.5</v>
      </c>
      <c r="S110" s="6" t="n">
        <v>2.5</v>
      </c>
      <c r="T110" s="6" t="n">
        <v>400</v>
      </c>
    </row>
    <row r="111" ht="20.1" customHeight="1">
      <c r="A111" s="6" t="n">
        <v>110</v>
      </c>
      <c r="B111" s="4" t="inlineStr">
        <is>
          <t>Academic</t>
        </is>
      </c>
      <c r="C111" s="4" t="inlineStr">
        <is>
          <t>Edge</t>
        </is>
      </c>
      <c r="D111" s="10" t="n">
        <v>9789391032791</v>
      </c>
      <c r="E111" s="10" t="n">
        <v>9391032796</v>
      </c>
      <c r="F111" s="5" t="inlineStr">
        <is>
          <t>Dr Zubairul Islam</t>
        </is>
      </c>
      <c r="G111" s="4" t="inlineStr">
        <is>
          <t>Geography of India</t>
        </is>
      </c>
      <c r="H111" s="6" t="inlineStr">
        <is>
          <t>Geography of India is a comprehensive offering especially designed for the aspirants of UPSC Civil Services Examination (CSE). It contains more than 500 original figures based on GIS, manifold more than any other book on same topic.
The book is designed to provide comprehensive knowledge on the subject with emphasis on India’s natural and cultural landscape. Previous year's questions and Interactive digital map applications are accessible through QR codes placed at various important places across the book. These interactive maps capture various dimensions of Indian Geography, which are extremely useful for UPSC CSE aspirants. Information provided through these interactive maps is dynamic and updated from time to time to help students stay current on various topics and probable questions on
the geography of India.
An attempt has been made to include and present only relevant and important information. Exclusion of irrelevant and non-essential material would aid in saving student’s time and effort.</t>
        </is>
      </c>
      <c r="I111" s="6" t="inlineStr">
        <is>
          <t>Dr Zubairul Islam is an Associate Professor of Geography at ADU, Africa. He has been a facilitator for a series of training programs on ‘Application of GIS and Remote Sensing, sponsored by the federal government of Ethiopia, Addis Ababa. In these programs, he has addressed officers of the land administration department, Municipal department, and the use of GIS techniques for Geodatabase development and management</t>
        </is>
      </c>
      <c r="J111" s="4" t="n">
        <v>1</v>
      </c>
      <c r="K111" s="4" t="inlineStr">
        <is>
          <t>English</t>
        </is>
      </c>
      <c r="L111" s="4" t="inlineStr">
        <is>
          <t>PB</t>
        </is>
      </c>
      <c r="M111" s="6" t="inlineStr">
        <is>
          <t>India</t>
        </is>
      </c>
      <c r="N111" s="20" t="n">
        <v>44866</v>
      </c>
      <c r="O111" s="4" t="n">
        <v>604</v>
      </c>
      <c r="P111" s="44" t="n">
        <v>695</v>
      </c>
      <c r="Q111" s="6" t="n">
        <v>24</v>
      </c>
      <c r="R111" s="6" t="n">
        <v>18.5</v>
      </c>
      <c r="S111" s="6" t="n">
        <v>2.5</v>
      </c>
      <c r="T111" s="6" t="n">
        <v>780</v>
      </c>
    </row>
    <row r="112" ht="20.1" customHeight="1">
      <c r="A112" s="6" t="n">
        <v>111</v>
      </c>
      <c r="B112" s="4" t="inlineStr">
        <is>
          <t>Law</t>
        </is>
      </c>
      <c r="C112" s="4" t="inlineStr">
        <is>
          <t>OakBridge</t>
        </is>
      </c>
      <c r="D112" s="10" t="n">
        <v>9789391032678</v>
      </c>
      <c r="E112" s="10" t="n">
        <v>9391032672</v>
      </c>
      <c r="F112" s="5" t="inlineStr">
        <is>
          <t>Dr Navjeet Sidhu Kundal</t>
        </is>
      </c>
      <c r="G112" s="4" t="inlineStr">
        <is>
          <t>Corporate Social Responsibility: Concept, Genesis, Evolution &amp; Practice</t>
        </is>
      </c>
      <c r="H112" s="6" t="inlineStr">
        <is>
          <t>Corporate Social Responsibility: Concept, Genesis, Evolution, &amp; Practice in its new edition provides a comprehensive overview of the subject in the Indian context as well as presents a comparative analysis with the other jurisdictions including the US, UK, Australia, and South Africa. The book offers a step-by-step guidance on the evolution of Corporate Social Responsibility (CSR) in India covering all legislative and policy developments relating to it. A separate chapter in the book explores the regulatory structure in India with a view to expound on the different measures adopted through the years by various regulators and the judiciary to further the practice of CSR. The book offers insights on the international legal framework and the contributions of UN, ILO, and OECD in developing necessary guidelines on the subject. The book delves into the conceptual framework governing CSR interwoven with related principles and dimensions offering a holistic understanding of the subject.  
The book also evaluates the CSR initiatives undertaken by Indian entities highlighting its practical dimensions. The readers will benefit from the critical analysis of the CSR spend by the Indian corporations at macro and micro levels, including the legal implications of CSR spend on Multinational Corporations. The book will be a handy guide and will be useful for corporate leaders, corporations, policy-makers, lawyers, judges, academicians and students.</t>
        </is>
      </c>
      <c r="I112" s="6" t="inlineStr">
        <is>
          <t>Dr Navjeet Sidhu Kundal is an Assistant Professor at Vivekananda Institute of Professional Studies (VIPS), GGSIP University, Delhi. She is a Ph.D. in Commercial Law and has a rich academic experience. Her areas of interest include Public International Law, Corporate Law and Human Rights. Her research revolves around Human Rights, Businesses and CSR. She writes extensively on issues related to Corporate Governance, Corporate Social Responsibility, Business and Human Rights and Women in business. She has multiple books and research papers to her credit including International Humanitarian Law: A Reflection on 70 years of Geneva Conventions. She is currently working on a project sponsored by the National Human Rights Commission.</t>
        </is>
      </c>
      <c r="J112" s="4" t="n">
        <v>1</v>
      </c>
      <c r="K112" s="4" t="inlineStr">
        <is>
          <t>English</t>
        </is>
      </c>
      <c r="L112" s="4" t="inlineStr">
        <is>
          <t>PB</t>
        </is>
      </c>
      <c r="M112" s="6" t="inlineStr">
        <is>
          <t>India</t>
        </is>
      </c>
      <c r="N112" s="20" t="n">
        <v>44866</v>
      </c>
      <c r="O112" s="4" t="n">
        <v>350</v>
      </c>
      <c r="P112" s="44" t="n">
        <v>795</v>
      </c>
      <c r="Q112" s="6" t="n">
        <v>24</v>
      </c>
      <c r="R112" s="6" t="n">
        <v>18.5</v>
      </c>
      <c r="S112" s="6" t="n">
        <v>2.5</v>
      </c>
      <c r="T112" s="6" t="n">
        <v>350</v>
      </c>
    </row>
    <row r="113" ht="20.1" customHeight="1">
      <c r="A113" s="6" t="n">
        <v>112</v>
      </c>
      <c r="B113" s="4" t="inlineStr">
        <is>
          <t>Law</t>
        </is>
      </c>
      <c r="C113" s="4" t="inlineStr">
        <is>
          <t>OakBridge</t>
        </is>
      </c>
      <c r="D113" s="10" t="n">
        <v>9789391032210</v>
      </c>
      <c r="E113" s="10" t="n">
        <v>9391032214</v>
      </c>
      <c r="F113" s="5" t="inlineStr">
        <is>
          <t>NS Nappinai</t>
        </is>
      </c>
      <c r="G113" s="4" t="inlineStr">
        <is>
          <t>CSassy Tales: Cybercrime Stories &amp; The Law</t>
        </is>
      </c>
      <c r="H113" s="6" t="inlineStr">
        <is>
          <t>CSassy Tales: Cybercrimes Stories &amp; The Law is unique as it adopts a storytelling approach to highlight the threats on digital spaces. In the book a wide-range of cybercrimes prevalent today are discussed comprehensively providing clarity on the legal remedies available to victims. Broadly, the book covers the following categories of cybercrimes:
• Cyber Bullying
• Cyber Stalking
• Morphing &amp; Cybercrimes
• Sextortion Cybercrimes
• Cyber Scams
• Hacking
• Cyber/Sexual Harassment
• Gaming &amp; Threats
• Emerging Technologies &amp; Scams
• Cybercrimes – By &amp; Against Children
Considering that majority users of the online/digital space are young adults &amp; children; the author’s aim is to arm them with the requisite knowledge to prevent them from becoming perpetrators and/or victims. Each chapter opens with a fictional story drawn from the author’s experience with the subject. The narrative then discusses some real-life cases, the legal provisions and remedies. Each chapter also provides the do’s and don’ts relating to use of digital spaces in the context of the cybercrime under discussion. The chapters adopt an action and consequence approach without bringing in judgment.
Another key feature of the book are the engaging exercises that have been embedded within chapters, including questionnaires and case scenarios. These exercises are intended to help readers in developing a better understanding of the preventive steps and remedial actions. This also makes the book useful for teachers and instructors as a trainer’s guide when introducing the subject to students (school, graduate, post-graduate &amp; higher education).
The focus of the book is also to improve the rate of reporting of cybercrimes. Many of these cybercrimes go unreported due to its nature and wide reach on the world wide web. As technology is here to stay and as the use of digital spaces has become a necessity, it is prudent to learn about cyber safety and its various facets. This book is a step in this direction.</t>
        </is>
      </c>
      <c r="I113" s="6" t="inlineStr">
        <is>
          <t xml:space="preserve">
N S Nappinai, Supreme Court Advocate and founder of Cyber Saathi™ (www.cybersaathi.org), is a senior and renowned lawyer (since 1991) focusing on litigation (Constitutional, Criminal, IPR &amp; Cyber laws) and policy work, apart from her social responsibility engagements of contributing to India’s National Cyber Security Secretariat; Parliamentary Committees on Cyber laws and policies and for training judges, police, armed forces, students and industry. Alumna of IVLP (IPR), Chevening – Cyber Security and Stanford CDDRL Fellowships, Ms Nappinai is a prolific writer and author (Technology Laws Decoded (2017)), whose articles are published in leading National and International publications.
</t>
        </is>
      </c>
      <c r="J113" s="4" t="n">
        <v>1</v>
      </c>
      <c r="K113" s="4" t="inlineStr">
        <is>
          <t>English</t>
        </is>
      </c>
      <c r="L113" s="4" t="inlineStr">
        <is>
          <t>PB</t>
        </is>
      </c>
      <c r="M113" s="6" t="inlineStr">
        <is>
          <t>India</t>
        </is>
      </c>
      <c r="N113" s="20" t="n">
        <v>44866</v>
      </c>
      <c r="O113" s="4" t="n">
        <v>442</v>
      </c>
      <c r="P113" s="44" t="n">
        <v>895</v>
      </c>
      <c r="Q113" s="6" t="n">
        <v>24</v>
      </c>
      <c r="R113" s="6" t="n">
        <v>16</v>
      </c>
      <c r="S113" s="6" t="n">
        <v>2.5</v>
      </c>
      <c r="T113" s="6" t="n">
        <v>700</v>
      </c>
    </row>
    <row r="114" ht="20.1" customHeight="1">
      <c r="A114" s="6" t="n">
        <v>113</v>
      </c>
      <c r="B114" s="4" t="inlineStr">
        <is>
          <t>Law</t>
        </is>
      </c>
      <c r="C114" s="4" t="inlineStr">
        <is>
          <t>OakBridge</t>
        </is>
      </c>
      <c r="D114" s="10" t="n">
        <v>9789395764087</v>
      </c>
      <c r="E114" s="10" t="inlineStr">
        <is>
          <t>B0BM9LKSQM</t>
        </is>
      </c>
      <c r="F114" s="5" t="inlineStr">
        <is>
          <t>R K Naroola 
Udayan Mukerji</t>
        </is>
      </c>
      <c r="G114" s="4" t="inlineStr">
        <is>
          <t>The Law of Prevention of Money Laundering</t>
        </is>
      </c>
      <c r="H114" s="6" t="inlineStr">
        <is>
          <t>The Law of Prevention of Money Laundering takes forward the critical analysis on the subject from 
its previous edition in light of the judicial developments, including the landmark decision of the 
Supreme Court in Vijay Madanlal Choudhary v. Union of India &amp; Ors. The authors have attempted 
to examine in detail the impact of the judgment on the PMLA, especially in light of the differing 
standard of jurisprudential principles applicable under PMLA and the other criminal statutes in 
India. In the new edition, a new chapter on the Schedule has also been added.
The chapters in the book are arranged thematically delineating the different aspects of the law 
against money-laundering. The commentary explains the offence of money-laundering, including 
its various forms, and key ingredients. The comparative review of the laws in India and other 
developed jurisdictions including the UK and the USA, along with the reference to the Financial 
Action Task Force (FATF) Recommendations helps the reader understand the genesis of law in India. 
The provisions relating to arrest, search, seizure, and adjudication have been discussed in detail, 
along with the drawbacks that plague the enforcement systems. The book will be useful to law 
firms, individual practitioners, judges, enforcement agencies, researchers and students of law.</t>
        </is>
      </c>
      <c r="I114" s="6" t="inlineStr">
        <is>
          <t>R K Naroola is a leading legal practitioner and consultant with over 36 years of experience in advising and representing corporate and individual clients. He has acquired highly specialised experience in Collaborations, Joint Ventures, Banking, Industrial Relations, Labour Law, International Financial Institutions, Foreign Trade, Contract Law and Negotiations. He has been involved in setting up of companies and Joint Ventures both in India and abroad.
Udayan Mukerji is a retired IPS officer and a practicing advocate with specialization in criminal matters, torts, writ petitions, arbitration and contracts. He is a Patron Member of the Bar Association of India. During his career with the IPS, he functioned at various levels dealing with homeland and internal security, communications security and investigations into security deficiencies. He is the recipient of the Indian Police Medal for Meritorious Service and the President’s Medal for Distinguished Service.</t>
        </is>
      </c>
      <c r="J114" s="4" t="n">
        <v>2</v>
      </c>
      <c r="K114" s="4" t="inlineStr">
        <is>
          <t>English</t>
        </is>
      </c>
      <c r="L114" s="4" t="inlineStr">
        <is>
          <t>PB</t>
        </is>
      </c>
      <c r="M114" s="6" t="inlineStr">
        <is>
          <t>India</t>
        </is>
      </c>
      <c r="N114" s="20" t="n">
        <v>44866</v>
      </c>
      <c r="O114" s="4" t="n">
        <v>350</v>
      </c>
      <c r="P114" s="44" t="n">
        <v>895</v>
      </c>
      <c r="Q114" s="6" t="n">
        <v>24</v>
      </c>
      <c r="R114" s="6" t="n">
        <v>16</v>
      </c>
      <c r="S114" s="6" t="n">
        <v>2.5</v>
      </c>
      <c r="T114" s="6" t="n">
        <v>500</v>
      </c>
    </row>
    <row r="115" ht="20.1" customHeight="1">
      <c r="A115" s="6" t="n">
        <v>114</v>
      </c>
      <c r="B115" s="4" t="inlineStr">
        <is>
          <t>Academic</t>
        </is>
      </c>
      <c r="C115" s="4" t="inlineStr">
        <is>
          <t xml:space="preserve">Edge </t>
        </is>
      </c>
      <c r="D115" s="10" t="n">
        <v>9789391032807</v>
      </c>
      <c r="E115" s="10" t="inlineStr">
        <is>
          <t>939103280X</t>
        </is>
      </c>
      <c r="F115" s="5" t="inlineStr">
        <is>
          <t>OakBridge</t>
        </is>
      </c>
      <c r="G115" s="4" t="inlineStr">
        <is>
          <t>General Studies Series Part 1 – Indian Art and Culture</t>
        </is>
      </c>
      <c r="H115" s="6" t="inlineStr">
        <is>
          <t>General Studies Series Part 1 – Indian Art and Culture has been written for the aspirants of Civil Services Examination. It will also help the students in the preparation of various state services examinations.
Starting from the evolution of Indian art and architecture, the book covers diverse aspects of Indian culture. It delves deep into the various facets of the art and culture of India, contribution made by different dynasties in shaping Indian culture, classical dances, folk traditions, and evolution of music in India. The book also provides an insight on Ancient and Medieval history of Indian sub-continent. At the end of the book, practice questions, based on the latest pattern of UPSC, have been provided for self-assessment.
The book is embedded with diagrams and flowcharts to facilitate illustrative learning of the subject. It will serve as a quick reference guide for the Civil Services Examination.
Key features
•	Comprises mind-map summaries for each chapter to aid the revision of the syllabus
•	Provides insights on Ancient and Medieval Indian history
•	Covers salient features of the Indian art, culture, and heritage
•	Explains dance, music, and folk traditions of India
•	Provides solved questions of the previous years’ preliminary examinations (2011–2022)
•	Presents 120 practice MCQs for self-assessment
•	Provides trend analysis of the Civil Services Preliminary Examination 2020–2022</t>
        </is>
      </c>
      <c r="I115" s="6" t="inlineStr">
        <is>
          <t>OakBridge</t>
        </is>
      </c>
      <c r="J115" s="4" t="n">
        <v>2</v>
      </c>
      <c r="K115" s="4" t="inlineStr">
        <is>
          <t>English</t>
        </is>
      </c>
      <c r="L115" s="4" t="inlineStr">
        <is>
          <t>PB</t>
        </is>
      </c>
      <c r="M115" s="6" t="inlineStr">
        <is>
          <t>India</t>
        </is>
      </c>
      <c r="N115" s="20" t="n">
        <v>44896</v>
      </c>
      <c r="O115" s="4" t="n">
        <v>276</v>
      </c>
      <c r="P115" s="44" t="n">
        <v>350</v>
      </c>
      <c r="Q115" s="6" t="n">
        <v>24</v>
      </c>
      <c r="R115" s="6" t="n">
        <v>16</v>
      </c>
      <c r="S115" s="6" t="n">
        <v>2.5</v>
      </c>
      <c r="T115" s="6" t="n">
        <v>330</v>
      </c>
    </row>
    <row r="116" ht="20.1" customHeight="1">
      <c r="A116" s="6" t="n">
        <v>115</v>
      </c>
      <c r="B116" s="4" t="inlineStr">
        <is>
          <t>Academic</t>
        </is>
      </c>
      <c r="C116" s="4" t="inlineStr">
        <is>
          <t xml:space="preserve">Edge </t>
        </is>
      </c>
      <c r="D116" s="10" t="n">
        <v>9789391032708</v>
      </c>
      <c r="E116" s="10" t="n">
        <v>9391032702</v>
      </c>
      <c r="F116" s="5" t="inlineStr">
        <is>
          <t>OakBridge</t>
        </is>
      </c>
      <c r="G116" s="4" t="inlineStr">
        <is>
          <t>General Studies Series Part 2 – Modern India and Indian National Movement</t>
        </is>
      </c>
      <c r="H116" s="6" t="inlineStr">
        <is>
          <t>General Studies Series Part 2 – Modern India and Indian National Movement has been written for the aspirants of Civil Services Examination. It will also help the students in the preparation of various state services examinations.
Starting from the events of mid-eighteenth century, the book covers the various aspects of Indian History till independence. It provides the list of Viceroys and the key events that took place during their tenure, important personalities associated with the freedom movement, chronology of
events in Indian history and important social reform movements. At the end of the book, practice questions, based on the latest pattern of UPSC, have been provided for self-assessment.
Key features
• Comprises mind-map summaries for each chapter to aid revision of the syllabus
• Use of flowcharts and diagrams for better illustration
• Provides solved questions of the previous years’ preliminary examinations (2011–2022)
• Presents 120 practice MCQs for self-assessment
• Provides trend analysis of the Civil Services Preliminary Examination 2020–2022</t>
        </is>
      </c>
      <c r="I116" s="6" t="inlineStr">
        <is>
          <t>OakBridge</t>
        </is>
      </c>
      <c r="J116" s="4" t="n">
        <v>2</v>
      </c>
      <c r="K116" s="4" t="inlineStr">
        <is>
          <t>English</t>
        </is>
      </c>
      <c r="L116" s="4" t="inlineStr">
        <is>
          <t>PB</t>
        </is>
      </c>
      <c r="M116" s="6" t="inlineStr">
        <is>
          <t>India</t>
        </is>
      </c>
      <c r="N116" s="20" t="n">
        <v>44896</v>
      </c>
      <c r="O116" s="4" t="n">
        <v>282</v>
      </c>
      <c r="P116" s="44" t="n">
        <v>350</v>
      </c>
      <c r="Q116" s="6" t="n">
        <v>24</v>
      </c>
      <c r="R116" s="6" t="n">
        <v>18.5</v>
      </c>
      <c r="S116" s="6" t="n">
        <v>2.5</v>
      </c>
      <c r="T116" s="6" t="n">
        <v>400</v>
      </c>
    </row>
    <row r="117" ht="20.1" customHeight="1">
      <c r="A117" s="6" t="n">
        <v>116</v>
      </c>
      <c r="B117" s="4" t="inlineStr">
        <is>
          <t>Academic</t>
        </is>
      </c>
      <c r="C117" s="4" t="inlineStr">
        <is>
          <t xml:space="preserve">Edge </t>
        </is>
      </c>
      <c r="D117" s="10" t="n">
        <v>9789395764049</v>
      </c>
      <c r="E117" s="10" t="inlineStr">
        <is>
          <t>939576404X</t>
        </is>
      </c>
      <c r="F117" s="5" t="inlineStr">
        <is>
          <t>OakBridge</t>
        </is>
      </c>
      <c r="G117" s="4" t="inlineStr">
        <is>
          <t>General Studies Series Part 3-Indian Constitution, Political System and Rights Issues</t>
        </is>
      </c>
      <c r="H117" s="6" t="inlineStr">
        <is>
          <t>General Studies Series Part 3-Indian Constitution, Political System and Rights Issues has been written for the aspirants of Civil Services Examination. It will also help the students in the preparation of various state services examinations.
Starting from the historical background and evolution of the constitution, the book covers various aspects of Indian Constitution. It delves deep into the various facets of the government, parliamentary procedures, constitutional, non-constitutional and quasi-judicial bodies, along with their mandates. The book also deals with the salient features of democratic decentralisation and its significance in Indian democracy. At the end of the book, practice questions, based on the latest pattern of UPSC, have been provided for self-assessment.
Key features
•	Covers salient features of the Indian Constitution and the Indian political system
•	Provides detailed insights on constitutional, non-constitutional and quasi-judicial bodies
•	Provides solved questions of the previous years’ preliminary examinations from the year 2011–2022
•	Presents 120 practice MCQs for self-assessment
•	Provides trend analysis of the Civil Services Preliminary Examination 2020–2022</t>
        </is>
      </c>
      <c r="I117" s="6" t="inlineStr">
        <is>
          <t>OakBridge</t>
        </is>
      </c>
      <c r="J117" s="4" t="n">
        <v>2</v>
      </c>
      <c r="K117" s="4" t="inlineStr">
        <is>
          <t>English</t>
        </is>
      </c>
      <c r="L117" s="4" t="inlineStr">
        <is>
          <t>PB</t>
        </is>
      </c>
      <c r="M117" s="6" t="inlineStr">
        <is>
          <t>India</t>
        </is>
      </c>
      <c r="N117" s="20" t="n">
        <v>44896</v>
      </c>
      <c r="O117" s="4" t="n">
        <v>478</v>
      </c>
      <c r="P117" s="44" t="n">
        <v>395</v>
      </c>
      <c r="Q117" s="6" t="n">
        <v>24</v>
      </c>
      <c r="R117" s="6" t="n">
        <v>18.5</v>
      </c>
      <c r="S117" s="6" t="n">
        <v>2.5</v>
      </c>
      <c r="T117" s="6" t="n">
        <v>600</v>
      </c>
    </row>
    <row r="118" ht="20.1" customHeight="1">
      <c r="A118" s="6" t="n">
        <v>117</v>
      </c>
      <c r="B118" s="4" t="inlineStr">
        <is>
          <t>Academic</t>
        </is>
      </c>
      <c r="C118" s="4" t="inlineStr">
        <is>
          <t xml:space="preserve">Edge </t>
        </is>
      </c>
      <c r="D118" s="10" t="n">
        <v>9789395764018</v>
      </c>
      <c r="E118" s="10" t="n">
        <v>9395764015</v>
      </c>
      <c r="F118" s="5" t="inlineStr">
        <is>
          <t>OakBridge</t>
        </is>
      </c>
      <c r="G118" s="4" t="inlineStr">
        <is>
          <t>General Studies Series Part 4 – Geography of India and the World</t>
        </is>
      </c>
      <c r="H118" s="6" t="inlineStr">
        <is>
          <t>General Studies Series Part 4 – Geography of India and the World has been written for the aspirants of Civil Services Examination. It will also help the students in the preparation of various state services examinations.
The book is divided into two parts. Part 1 deals with the fundamentals of physical geography. It covers topics like solar system, evolution and structure of the earth, landforms, various climatic zones of the world and other significant details of the world geography. Part 2 incorporates the salient features of Indian geography. It provides an insight on the physiography of India, climate, demography, and transport infrastructure in India. At the end of the book, practice questions, based on the latest pattern of UPSC, have been provided for self-assessment. 
The book has been written in a simple and lucid language. Maps, diagrams, and illustrations have been provided to facilitate a better understanding of the topics.
Key features
•	Covers salient features of the Indian and the World Geography
•	Provides detailed insights on physiography of India and its impact on the Indian climate
•	Explains the fundamentals of physical geography, climatology, and oceanography
•	Provides solved questions of the previous years’ prelims exam from the year 2011–2022
•	Presents 120 practice MCQs for self-assessment
•	Provides trend analysis of the Civil Services Preliminary Examination 2020–2022</t>
        </is>
      </c>
      <c r="I118" s="6" t="inlineStr">
        <is>
          <t>OakBridge</t>
        </is>
      </c>
      <c r="J118" s="4" t="n">
        <v>2</v>
      </c>
      <c r="K118" s="4" t="inlineStr">
        <is>
          <t>English</t>
        </is>
      </c>
      <c r="L118" s="4" t="inlineStr">
        <is>
          <t>PB</t>
        </is>
      </c>
      <c r="M118" s="6" t="inlineStr">
        <is>
          <t>India</t>
        </is>
      </c>
      <c r="N118" s="20" t="n">
        <v>44896</v>
      </c>
      <c r="O118" s="4" t="n">
        <v>512</v>
      </c>
      <c r="P118" s="44" t="n">
        <v>495</v>
      </c>
      <c r="Q118" s="6" t="n">
        <v>24</v>
      </c>
      <c r="R118" s="6" t="n">
        <v>18.5</v>
      </c>
      <c r="S118" s="6" t="n">
        <v>2.5</v>
      </c>
      <c r="T118" s="6" t="n">
        <v>600</v>
      </c>
    </row>
    <row r="119" ht="20.1" customHeight="1">
      <c r="A119" s="6" t="n">
        <v>118</v>
      </c>
      <c r="B119" s="4" t="inlineStr">
        <is>
          <t>Academic</t>
        </is>
      </c>
      <c r="C119" s="4" t="inlineStr">
        <is>
          <t xml:space="preserve">Edge </t>
        </is>
      </c>
      <c r="D119" s="10" t="n">
        <v>9789395764025</v>
      </c>
      <c r="E119" s="10" t="n">
        <v>9395764023</v>
      </c>
      <c r="F119" s="5" t="inlineStr">
        <is>
          <t>OakBridge</t>
        </is>
      </c>
      <c r="G119" s="4" t="inlineStr">
        <is>
          <t>General Studies Series Part 6 – General Science and Technology</t>
        </is>
      </c>
      <c r="H119" s="6" t="inlineStr">
        <is>
          <t xml:space="preserve">General Studies Series Part 6 – General Science and Technology has been written for the aspirants of Civil Services Examination. It will also help the students in the preparation of various state services examinations. Keeping in view the new syllabi and the changing trends of Civil Services examination, the book provides comprehensive, yet concise, insights on fundamentals of science and technology and their relevant applications. The book also provides a brief on the basics of emerging technologies like Recombinant DNA Technology, Nanotechnology, Artificial Intelligence, Machine Learning, Blockchain, Cryptocurrencies, Internet of Things, Hyperloop, Electric Vehicles, Driverless cars, Robotics, etc. It also deals with the latest developments in the field of Science and Technology taking place at global level. A special chapter on ‘General Science’ has been included to introduce the students to the fundamentals of various streams of science. At the end of the book, practice questions, based on the latest pattern of UPSC, have been provided for self-assessment. The book has been written in a simple and lucid language. Illustrations have been provided to facilitate better understanding.
Key features
•	Analytical insights on the foundations of science and the latest developments in Science &amp; Technology
•	Provides fundamental concepts of General Science (Physics, Chemistry and Biology)
•	Use of Diagrams and Flowcharts for better illustration
•	Provides solved questions of the previous years’ prelims exam from the year 2011–2022
•	Presents 120 practice MCQs for self-assessment
•	Provides trend analysis of the Civil Services Preliminary Examination 2020–2022
</t>
        </is>
      </c>
      <c r="I119" s="6" t="inlineStr">
        <is>
          <t>OakBridge</t>
        </is>
      </c>
      <c r="J119" s="4" t="n">
        <v>2</v>
      </c>
      <c r="K119" s="4" t="inlineStr">
        <is>
          <t>English</t>
        </is>
      </c>
      <c r="L119" s="4" t="inlineStr">
        <is>
          <t>PB</t>
        </is>
      </c>
      <c r="M119" s="6" t="inlineStr">
        <is>
          <t>India</t>
        </is>
      </c>
      <c r="N119" s="20" t="n">
        <v>44896</v>
      </c>
      <c r="O119" s="4" t="n">
        <v>498</v>
      </c>
      <c r="P119" s="44" t="n">
        <v>395</v>
      </c>
      <c r="Q119" s="6" t="n">
        <v>24</v>
      </c>
      <c r="R119" s="6" t="n">
        <v>18.5</v>
      </c>
      <c r="S119" s="6" t="n">
        <v>2.5</v>
      </c>
      <c r="T119" s="6" t="n">
        <v>600</v>
      </c>
    </row>
    <row r="120" ht="20.1" customHeight="1">
      <c r="A120" s="6" t="n">
        <v>119</v>
      </c>
      <c r="B120" s="4" t="inlineStr">
        <is>
          <t>Academic</t>
        </is>
      </c>
      <c r="C120" s="4" t="inlineStr">
        <is>
          <t xml:space="preserve">Edge </t>
        </is>
      </c>
      <c r="D120" s="10" t="n">
        <v>9789395764056</v>
      </c>
      <c r="E120" s="10" t="n">
        <v>9395764058</v>
      </c>
      <c r="F120" s="5" t="inlineStr">
        <is>
          <t>OakBridge</t>
        </is>
      </c>
      <c r="G120" s="4" t="inlineStr">
        <is>
          <t>General Studies Series Part 7 – Environment and Ecology</t>
        </is>
      </c>
      <c r="H120" s="6" t="inlineStr">
        <is>
          <t>General Studies Series Part 7 – Environment and Ecology has been written for the aspirants of Civil Services Examination. It will also help the students in the preparation of various state services examinations.
Starting with the fundamentals of environment and ecology, the book covers topics like important organisations related to environment, international protocols, and conventions. It delves deep into the major ecological issues like global warming, climate change, pollution, etc. It also provides an insight on the international cooperation in the field of environment. At the end of the book, practice questions, based on the latest pattern of UPSC, have been provided for self-assessment.
The book has been written in a simple and lucid language. Illustrations have been provided to facilitate better understanding.
Key features
•	Covers fundamentals of Environment and Ecology
•	Provides detailed insights on global warming and climate change
•	Explains the functions and mandates of key environmental institutions
•	Provides details of environmental governance in India
•	Provides solved questions of the previous years’ preliminary examinations from the year 2011–2022
•	Presents 120 practice MCQs for self-assessment
•	Provides trend analysis of the Civil Services Preliminary Examination 2020–2022</t>
        </is>
      </c>
      <c r="I120" s="6" t="inlineStr">
        <is>
          <t>OakBridge</t>
        </is>
      </c>
      <c r="J120" s="4" t="n">
        <v>2</v>
      </c>
      <c r="K120" s="4" t="inlineStr">
        <is>
          <t>English</t>
        </is>
      </c>
      <c r="L120" s="4" t="inlineStr">
        <is>
          <t>PB</t>
        </is>
      </c>
      <c r="M120" s="6" t="inlineStr">
        <is>
          <t>India</t>
        </is>
      </c>
      <c r="N120" s="20" t="n">
        <v>44896</v>
      </c>
      <c r="O120" s="4" t="n">
        <v>288</v>
      </c>
      <c r="P120" s="44" t="n">
        <v>350</v>
      </c>
      <c r="Q120" s="6" t="n">
        <v>24</v>
      </c>
      <c r="R120" s="6" t="n">
        <v>18.5</v>
      </c>
      <c r="S120" s="6" t="n">
        <v>2.5</v>
      </c>
      <c r="T120" s="6" t="n">
        <v>380</v>
      </c>
    </row>
    <row r="121" ht="20.1" customHeight="1">
      <c r="A121" s="6" t="n">
        <v>120</v>
      </c>
      <c r="B121" s="4" t="inlineStr">
        <is>
          <t>Law</t>
        </is>
      </c>
      <c r="C121" s="4" t="inlineStr">
        <is>
          <t>OakBridge</t>
        </is>
      </c>
      <c r="D121" s="10" t="n">
        <v>9789391032449</v>
      </c>
      <c r="E121" s="10" t="n">
        <v>9391032443</v>
      </c>
      <c r="F121" s="5" t="inlineStr">
        <is>
          <t>Akanksha Bisen</t>
        </is>
      </c>
      <c r="G121" s="4" t="inlineStr">
        <is>
          <t>LawyerIN: LinkedIn for Lawyers</t>
        </is>
      </c>
      <c r="H121" s="6" t="inlineStr">
        <is>
          <t xml:space="preserve">LawyerIN: LinkinedIn for Lawyers is addressed to all law professionals who are inclined to create their own unique personal brand through LinkedIn. 
The book is designed to help readers develop an effective LinkedIn presence and establish connections that aid the creation of their personal brand. With several illustrations based on the author’s own experience and practical tools, the book will guide the reader through the process. The author gives step-by-step guidance on tasks to be done on daily, weekly, monthly, annual basis. More importantly, it is intended to help the readers discover how they can leverage the freely available tools to make this a smoother ride.
The book brings together the learnings and experiences of leading law professionals who have active LinkedIn presence in the form of interviews. 
“I would highly recommend this publication to readers as it is an eye opener when it comes to the social connect required among professionals and lawyers with clients and other social and modern thinkers…LawyerIN is the new lawyering of the future.”
Shardul S Shroff
Executive Chairman, Shardul Amarchand Mangaldas &amp; Co
</t>
        </is>
      </c>
      <c r="I121" s="6" t="inlineStr">
        <is>
          <t>Akanksha Bisen brings a decade of BD and marketing experience in the professional services industry, particularly law firms. Akanksha currently works with world-renowned law firm–Jones Day in its BD and Communications Department. Before moving to the States, she has worked with top-tier Indian law firms like Trilegal and Phoenix Legal, where she held leadership roles that included managing portfolios ranging from digital initiatives to media relations.</t>
        </is>
      </c>
      <c r="J121" s="4" t="n">
        <v>1</v>
      </c>
      <c r="K121" s="4" t="inlineStr">
        <is>
          <t>English</t>
        </is>
      </c>
      <c r="L121" s="4" t="inlineStr">
        <is>
          <t>PB</t>
        </is>
      </c>
      <c r="M121" s="6" t="inlineStr">
        <is>
          <t>India</t>
        </is>
      </c>
      <c r="N121" s="20" t="n">
        <v>44896</v>
      </c>
      <c r="O121" s="4" t="n">
        <v>224</v>
      </c>
      <c r="P121" s="44" t="n">
        <v>595</v>
      </c>
      <c r="Q121" s="6" t="n">
        <v>24</v>
      </c>
      <c r="R121" s="6" t="n">
        <v>18.5</v>
      </c>
      <c r="S121" s="6" t="n">
        <v>2.5</v>
      </c>
      <c r="T121" s="6" t="n">
        <v>300</v>
      </c>
    </row>
    <row r="122" ht="20.1" customHeight="1">
      <c r="A122" s="6" t="n">
        <v>121</v>
      </c>
      <c r="B122" s="4" t="inlineStr">
        <is>
          <t>Academic</t>
        </is>
      </c>
      <c r="C122" s="4" t="inlineStr">
        <is>
          <t xml:space="preserve">Edge </t>
        </is>
      </c>
      <c r="D122" s="10" t="n">
        <v>9789395764131</v>
      </c>
      <c r="E122" s="10" t="inlineStr">
        <is>
          <t>B0BXRCZYG8</t>
        </is>
      </c>
      <c r="F122" s="5" t="inlineStr">
        <is>
          <t>R Rajagopalan</t>
        </is>
      </c>
      <c r="G122" s="4" t="inlineStr">
        <is>
          <t>Paryavaran Evam Paristhitiki</t>
        </is>
      </c>
      <c r="H122" s="6" t="inlineStr">
        <is>
          <t xml:space="preserve">पर्यावरण एवं पारिस्थितिकी का तृतीय संस्करण पूरी तरह से संशोधित और अद्यतन आंकड़ों से परिपूर्ण सिविल सेवा प्रारंभिक और मुख्य परीक्षाओं के लिए इन विषयों पर एक पूर्ण मार्गदर्शिका है। यह पुस्तक भारतीय वन सेवा (IFS) परीक्षा में बैठने वाले विद्यार्थियों के लिए भी उपयोगी साबित होगी। यह पुस्तक सिविल सेवा परीक्षा में बैठने वाले विद्यार्थियों को विषयों के वैचारिक समझ को विकसित करने मे सहायता करेगी। सिविल सेवा परीक्षा में पूछे जाने वाले प्रश्नों के अनुरूप, इसमें प्रमुख अंतरराष्ट्रीय मुद्दों, पर्यावरण संगठनों, कन्वेंशन, सम्मेलनों, समझौतों, प्रस्ताव इत्यादि के ऊपर पुनर्व्यवस्थित अध्याय दिया गया है। सरकार की नीतियों, कानूनों और विनियमों का संकलन है।
तृतीय संस्करण में नया
•	यूपीएससी (2011-2022) की प्रारंभिक परीक्षा का प्रश्न और उत्तर एवं मुख्य परीक्षा का प्रश्न को अध्याय के अनुसार व्यवस्थित किया गया है।
•	पर्यावरण संगठनों, कन्वेंशन, सम्मेलनों, समझौतों, प्रस्ताव इत्यादि के ऊपर पुनर्व्यवस्थित अध्याय किया गया है।
•	परीक्षा की सुगम तैयारी हेतु 2022 के लिए प्रश्न-उत्तर प्रारूप (Model Answer) दिया गया है।
ऑनलाइन सपोर्ट
•	यूपीएससी प्रारंभिक परीक्षा के लिए टेस्ट सीरीज
•	यूपीएससी मुख्य परीक्षा के लिए प्रश्न बैंक
•	वर्तमान घटनाक्रम हर महीने अद्यतन किया जाता है
प्रमुख विशेषताऐं
•	सरल भाषा, समझने में आसान।
•	परीक्षा की सुगम तैयारी हेतु प्रश्न-उत्तर प्रारूप।
•	तर्कसंगत रूप से सोचने और विचारों को बढ़ावा देने के लिए निर्देशात्मक दृष्टिकोण।
•	पाठ की लंबाई को कम करने और आपको मुख्य बिंदुओं को पढ़ने और याद रखने में सक्षम बनाने के लिए बुलेट पॉइंट्स का प्रयोग।
•	विषय में रुचि पैदा करने के लिए कई सत्य घटनाओं का समावेश
•	राष्ट्रीय और अंतर्राष्ट्रीय नीतियों, कानूनों, विनियमों और सम्मेलनों का संपूर्ण समावेशन।
•	प्रारम्भिक परीक्षा में सभी प्रश्नों (2011-22) के उत्तर जहां आवश्यक हो टिप्पणियों के साथ का प्रस्तुतीकरण।
•	पाठ के आसान प्रवाह के लिए अध्यायों को पुनर्व्यवस्थित किया गया। </t>
        </is>
      </c>
      <c r="I122" s="6" t="inlineStr">
        <is>
          <t>प्रोफेसर आर राजगोपालन, आईआईटी मद्रास के पूर्व प्रोफेसर जिन्होंने स्कूलों, कॉलेजों और सामान्य पाठकों के लिए पर्यावरण पर 19 पुस्तकों के लिखीं हैं। इन्होनें पूरे भारत में विभिन्न समूह (आईएएस अधिकारियों सहित) पर्यावरण पर प्रस्तुतियां और कार्यशालाएं दी हैं।</t>
        </is>
      </c>
      <c r="J122" s="4" t="n">
        <v>3</v>
      </c>
      <c r="K122" s="4" t="inlineStr">
        <is>
          <t>Hindi</t>
        </is>
      </c>
      <c r="L122" s="4" t="inlineStr">
        <is>
          <t>PB</t>
        </is>
      </c>
      <c r="M122" s="6" t="inlineStr">
        <is>
          <t>India</t>
        </is>
      </c>
      <c r="N122" s="20" t="n">
        <v>44927</v>
      </c>
      <c r="O122" s="4" t="n">
        <v>670</v>
      </c>
      <c r="P122" s="44" t="n">
        <v>525</v>
      </c>
      <c r="Q122" s="6" t="n">
        <v>23.5</v>
      </c>
      <c r="R122" s="6" t="n">
        <v>17</v>
      </c>
      <c r="S122" s="6" t="n">
        <v>2.5</v>
      </c>
      <c r="T122" s="6" t="n">
        <v>600</v>
      </c>
    </row>
    <row r="123" ht="20.1" customHeight="1">
      <c r="A123" s="6" t="n">
        <v>122</v>
      </c>
      <c r="B123" s="4" t="inlineStr">
        <is>
          <t>Law</t>
        </is>
      </c>
      <c r="C123" s="4" t="inlineStr">
        <is>
          <t>OakBridge</t>
        </is>
      </c>
      <c r="D123" s="10" t="n">
        <v>9789395764186</v>
      </c>
      <c r="E123" s="10" t="inlineStr">
        <is>
          <t>939576418X</t>
        </is>
      </c>
      <c r="F123" s="5" t="inlineStr">
        <is>
          <t xml:space="preserve">N Vijayaraghavan &amp; V Lakshminarayanan </t>
        </is>
      </c>
      <c r="G123" s="4" t="inlineStr">
        <is>
          <t>Constitutional Czars in the Hall of fame Musings, Anectodes &amp; Episodes</t>
        </is>
      </c>
      <c r="H123" s="6" t="inlineStr">
        <is>
          <t>Czar is a Russian word for ruler and emperor. The book presents lives, works, and contributions of some of the tallest figures in the Constitutional history of India and other jurisdictions.</t>
        </is>
      </c>
      <c r="I123" s="6" t="inlineStr">
        <is>
          <t>N Vijayaraghavan is a practising Advocate, Madras High Court, with over 3 decades of experience. He has authored several books like Constitution and its Making: Musings, Anecdotes and Episodes &amp; Constitution and its Working: Musings, Anecdotes and Episodes. He has been a resource person with TN Judicial Academy, and National Judicial Academy, Bhopal, run by the Supreme Court of India. V Lakshminarayanan is an Advocate practising in the Madras High Court since 1995. He has a wide range of practice in all fields of law. In 2008, he succeeded Justice K Kannan as the Deputy-Editor-in-Chief of the Madras Law Journal. He has contributed over 300 articles in the Madras Law Journal in
the last two decades.</t>
        </is>
      </c>
      <c r="J123" s="4" t="n">
        <v>1</v>
      </c>
      <c r="K123" s="4" t="inlineStr">
        <is>
          <t>English</t>
        </is>
      </c>
      <c r="L123" s="4" t="inlineStr">
        <is>
          <t>PB</t>
        </is>
      </c>
      <c r="M123" s="6" t="inlineStr">
        <is>
          <t>India</t>
        </is>
      </c>
      <c r="N123" s="20" t="n">
        <v>44927</v>
      </c>
      <c r="O123" s="4" t="n">
        <v>360</v>
      </c>
      <c r="P123" s="44" t="n">
        <v>595</v>
      </c>
      <c r="Q123" s="6" t="n">
        <v>24</v>
      </c>
      <c r="R123" s="6" t="n">
        <v>18.5</v>
      </c>
      <c r="S123" s="6" t="n">
        <v>2.5</v>
      </c>
      <c r="T123" s="6" t="n">
        <v>400</v>
      </c>
    </row>
    <row r="124" ht="20.1" customHeight="1">
      <c r="A124" s="6" t="n">
        <v>123</v>
      </c>
      <c r="B124" s="4" t="inlineStr">
        <is>
          <t xml:space="preserve">Academic </t>
        </is>
      </c>
      <c r="C124" s="4" t="inlineStr">
        <is>
          <t xml:space="preserve">Edge </t>
        </is>
      </c>
      <c r="D124" s="10" t="n">
        <v>9789395764230</v>
      </c>
      <c r="E124" s="10" t="n">
        <v>9395764236</v>
      </c>
      <c r="F124" s="5" t="inlineStr">
        <is>
          <t>A P Bhardwaj</t>
        </is>
      </c>
      <c r="G124" s="4" t="inlineStr">
        <is>
          <t>UGC/NTA CUET (UG) English</t>
        </is>
      </c>
      <c r="H124" s="6" t="inlineStr">
        <is>
          <t>•A complete and comprehensive study material to cover all the essential components of English including Vocabulary – 10,000 Words, 1500 MCQs, 500 MTW &amp; 65 PTs, Grammar – 130 PTs, English Usage – 164 PTs &amp; 2000 MCQs, Reading Comprehension – 16 PTs and Sentence Correction – 1200 Common Errors
•	Includes Mock Papers and Previous Year Question Papers
•	Class-tested material from the Author having over 20 years of experience.
•	The material provided is class-tested, involving the
experience and insights of over 20 years of teaching, and writing skills of its
author, A P Bhardwaj.</t>
        </is>
      </c>
      <c r="I124" s="6" t="inlineStr">
        <is>
          <t>A P Bhardwaj enjoys the stature and distinction of being the author of #1 NATIONAL BEST SELLER OF COMPULSORY ENGLISH BOOK FOR IAS(MAINS) EXAMINATIONS. His book, 20 Years’ Solved Papers of IAS(MAINS) Compulsory English Language Paper, is also a very popular title. He has 20 years’ experience of teaching and writing for competitive exams. He has the distinction of enabling umpteen number of students to clear CLAT/SLAT/AILET, PU, DU, BHU, and other law entrances. He is also known widely as the author of several BEST SELLERS for CLAT/SLAT/AILET. He is an established name in the tri-city of Chandigarh-Panchkula-Mohali as a CLAT GURU &amp; ENGLISH LANGUAGE TRAINER (ELT).</t>
        </is>
      </c>
      <c r="J124" s="4" t="n">
        <v>1</v>
      </c>
      <c r="K124" s="4" t="inlineStr">
        <is>
          <t>English</t>
        </is>
      </c>
      <c r="L124" s="4" t="inlineStr">
        <is>
          <t>PB</t>
        </is>
      </c>
      <c r="M124" s="6" t="inlineStr">
        <is>
          <t>India</t>
        </is>
      </c>
      <c r="N124" s="20" t="n">
        <v>44958</v>
      </c>
      <c r="O124" s="4" t="n">
        <v>412</v>
      </c>
      <c r="P124" s="44" t="n">
        <v>525</v>
      </c>
      <c r="Q124" s="6" t="n">
        <v>21.5</v>
      </c>
      <c r="R124" s="6" t="n">
        <v>14</v>
      </c>
      <c r="S124" s="6" t="n">
        <v>2.5</v>
      </c>
      <c r="T124" s="6" t="n">
        <v>750</v>
      </c>
    </row>
    <row r="125" ht="20.1" customHeight="1">
      <c r="A125" s="6" t="n">
        <v>124</v>
      </c>
      <c r="B125" s="4" t="inlineStr">
        <is>
          <t>Law</t>
        </is>
      </c>
      <c r="C125" s="4" t="inlineStr">
        <is>
          <t>OakBridge</t>
        </is>
      </c>
      <c r="D125" s="10" t="n">
        <v>9789395764148</v>
      </c>
      <c r="E125" s="10" t="n">
        <v>9395764147</v>
      </c>
      <c r="F125" s="5" t="inlineStr">
        <is>
          <t>Somesh Arora &amp; Salil Arora</t>
        </is>
      </c>
      <c r="G125" s="4" t="inlineStr">
        <is>
          <t>Prevention of Money Laundering Act, 2002 – A Commentary</t>
        </is>
      </c>
      <c r="H125" s="6" t="inlineStr">
        <is>
          <t xml:space="preserve">
Prevention of Money Laundering Act, 2002 – A Commentary (Second Edition)
•	Revised and fully updated section-wise commentary covering all the landmark judicial decisions
•	The seminal decision in Vijay Madanlal Choudhary has been discussed in detail and analysed meticulously. 
•	Exhaustively deals with all the key aspects of the PMLA, 2002.
•	Includes the Act, Rules, and important Notifications.
•	Updated developments at the international level in Financial Action Task Force.
•	Insight into the offence of money-laundering and its ever-evolving legal and regulatory framework. 
•	Thoroughly deals with all the definitions of Scheduled Offences drawn from various legislations.
•	Crucial learnings and techniques to benefit investigators and defence counsels in meeting their mandates in a PMLA case.
•	Useful for practitioners, judges, enforcement agencies, investigators, academics and students</t>
        </is>
      </c>
      <c r="I125" s="6" t="inlineStr">
        <is>
          <t>Mr Somesh Arora has the distinction of being the first Judicial Member, CESTAT who has a prior distinguished service with the Indian Revenue Services spanning over 25 years followed by being a
practising lawyer. In his previous role he has been associated with various organizations in the Government of India including the Ministry of Finance and Ministry of Commerce. He is a practicing advocate since 2009 with specialisation in the areas of money laundering and taxation. He has also worked in various premier investigating agencies and has successfully conducted some of the leading Service Tax, Customs, Excise and FEMA investigations. He has published several articles in leading legal and tax journals and has to his credit four prior publications.
Mr Salil Arora is a practising lawyer specialising in tax and corporate law. He has also been an adjudicating lawyer in PMLA matters and has worked at the PMLA Tribunal. He is an innovative lawyer excelling in legal management, keen on bringing new legal concepts and areas of practice in India. He is presently working on initiating money laundering compliance audit in India, as well as strengthening IPR audit and introducing valuations of IPR assets. A multi-faceted practitioner, he is a B.A. LL.B. (Hons.), PG Diploma in Corporate law, Cyber-crime investigator certified by the Asian School of Cyber laws, and WIPO certified IPR expert.</t>
        </is>
      </c>
      <c r="J125" s="4" t="n">
        <v>2</v>
      </c>
      <c r="K125" s="4" t="inlineStr">
        <is>
          <t>English</t>
        </is>
      </c>
      <c r="L125" s="4" t="inlineStr">
        <is>
          <t>HB (DJ)</t>
        </is>
      </c>
      <c r="M125" s="6" t="inlineStr">
        <is>
          <t>India</t>
        </is>
      </c>
      <c r="N125" s="20" t="n">
        <v>44958</v>
      </c>
      <c r="O125" s="4" t="n">
        <v>958</v>
      </c>
      <c r="P125" s="44" t="n">
        <v>2250</v>
      </c>
      <c r="Q125" s="6" t="n">
        <v>24</v>
      </c>
      <c r="R125" s="6" t="n">
        <v>18.5</v>
      </c>
      <c r="S125" s="6" t="n">
        <v>2.5</v>
      </c>
      <c r="T125" s="6" t="n">
        <v>1100</v>
      </c>
    </row>
    <row r="126" ht="20.1" customHeight="1">
      <c r="A126" s="6" t="n">
        <v>125</v>
      </c>
      <c r="B126" s="4" t="inlineStr">
        <is>
          <t>Law</t>
        </is>
      </c>
      <c r="C126" s="4" t="inlineStr">
        <is>
          <t>OakBridge</t>
        </is>
      </c>
      <c r="D126" s="10" t="n">
        <v>9789395764124</v>
      </c>
      <c r="E126" s="10" t="n">
        <v>9395764120</v>
      </c>
      <c r="F126" s="5" t="inlineStr">
        <is>
          <t>Daksh ( Editor - Shruti Vidyasagar, Sandhya P.R., Anindita Pattanayak and Harish Narasappa)</t>
        </is>
      </c>
      <c r="G126" s="4" t="inlineStr">
        <is>
          <t>Constitutional Ideals – Development and Realisation Through Court-led Justice</t>
        </is>
      </c>
      <c r="H126" s="6" t="inlineStr">
        <is>
          <t>•	Curated volume of essays that describe how the judiciary has interpreted and enriched the Constitution in diverse political, social, and economic circumstances.
•	Various aspects of the Constitution, from how decisions have shaped the identity of citizens, to the changing nature and scope of constitutional rights themselves.
•	Divided into four different segments: 
-	first explores the manner in which individuals engage with the Constitution to demand citizen-centric justice; 
-	second examines the navigation of group identities (such as religion and caste) in constitutional litigation; 
-	third focuses on the significance of procedural rigour in ensuring substantive justice, including in the context of insolvency, preventive detention, and public consultations before executive decisions; and
-	final theme captures constitutional values in flux.</t>
        </is>
      </c>
      <c r="I126" s="6" t="inlineStr">
        <is>
          <t>DAKSH is a civil society organisation working in the area of judicial reforms since 2015. Our flagship reports on the ‘State of the Indian Judiciary’ allowed us to embark on a journey in which we analyse the justice system holistically, using insights from a range of stakeholders.
DAKSH is uniquely placed at the intersection of law, policy, and technology, following an evidence-based approach to tackling justice system reforms.</t>
        </is>
      </c>
      <c r="J126" s="4" t="n">
        <v>1</v>
      </c>
      <c r="K126" s="4" t="inlineStr">
        <is>
          <t>English</t>
        </is>
      </c>
      <c r="L126" s="4" t="inlineStr">
        <is>
          <t>PB</t>
        </is>
      </c>
      <c r="M126" s="6" t="inlineStr">
        <is>
          <t>India</t>
        </is>
      </c>
      <c r="N126" s="20" t="n">
        <v>45017</v>
      </c>
      <c r="O126" s="4" t="n">
        <v>368</v>
      </c>
      <c r="P126" s="44" t="n">
        <v>795</v>
      </c>
      <c r="Q126" s="6" t="n">
        <v>24</v>
      </c>
      <c r="R126" s="6" t="n">
        <v>16</v>
      </c>
      <c r="S126" s="6" t="n">
        <v>2.5</v>
      </c>
      <c r="T126" s="6" t="n">
        <v>500</v>
      </c>
    </row>
    <row r="127" ht="20.1" customHeight="1">
      <c r="A127" s="6" t="n">
        <v>126</v>
      </c>
      <c r="B127" s="4" t="inlineStr">
        <is>
          <t>Academic</t>
        </is>
      </c>
      <c r="C127" s="4" t="inlineStr">
        <is>
          <t>Edge</t>
        </is>
      </c>
      <c r="D127" s="10" t="n">
        <v>9789395764315</v>
      </c>
      <c r="E127" s="10" t="n">
        <v>9395764317</v>
      </c>
      <c r="F127" s="5" t="inlineStr">
        <is>
          <t>Lohit Matani</t>
        </is>
      </c>
      <c r="G127" s="4" t="inlineStr">
        <is>
          <t>Internal Security</t>
        </is>
      </c>
      <c r="H127" s="6" t="inlineStr">
        <is>
          <t>Internal Security (Third Edition) is a book written for the aspirants of the Civil Services (Main) Examination. It will also be useful for various State Services Examinations.
With the growing challenges of global terrorism and local forms of naxalism and insurgency, ‘internal security’ has become a major concern for India. Following the global trend, UPSC also adopted ‘internal security’ as one of the topics in its syllabus of General Studies Paper 3. This book provides a broad overview of the various facets of the internal security situation of India. It also deals with various problems impacting the security of India, legal and institutional measures present, and recommendations of various committees and task forces for dealing with them.
The book has been written in simple and lucid language. An effort has been made to make the book reader-friendly by including mind maps, flowcharts, tables, and boxes. These features will be extremely useful for the aspirants in memorizing the whole issue (including the challenge and its measures) in a simple and comprehensive manner.
Key Features
•	Provides deep insights on issues and challenges of Internal security in India.
•	Provides 50+ ethics case studies related to Internal Security
•	Provides an exclusive chapter on Disaster Management
•	Provides a chapter-wise compilation of Probable Questions
•	Includes Minds-maps for better understanding and quick revision.
New to the Edition
•	Special coverage of the Role of Media and Social Networking Sites in Internal Security
•	Challenges
•	Inclusion of previous years’ papers of the Main examination from the year 2020 to 2022
•	• Updated with the latest information, facts, and figures.</t>
        </is>
      </c>
      <c r="I127" s="6" t="inlineStr">
        <is>
          <t>Lohit Matani is an Indian Police Service (IPS) officer of the 2014 batch posted in the Maharashtra cadre. He holds B Tech and M Tech degrees in Material Science and Technology from the Indian Institute of Technology (IIT), Banaras Hindu University (BHU), Varanasi. Lohit loves interacting with young students and candidates preparing for the civil services examination through his articles, blogs, and books. He is the writer of the blog lohitmatani.wordpress.com. Lohit is also the author of the books Introduction to Civil Services and Public Administration and Public Policy.</t>
        </is>
      </c>
      <c r="J127" s="4" t="n">
        <v>3</v>
      </c>
      <c r="K127" s="4" t="inlineStr">
        <is>
          <t>English</t>
        </is>
      </c>
      <c r="L127" s="4" t="inlineStr">
        <is>
          <t>PB</t>
        </is>
      </c>
      <c r="M127" s="6" t="inlineStr">
        <is>
          <t>India</t>
        </is>
      </c>
      <c r="N127" s="20" t="n">
        <v>45039</v>
      </c>
      <c r="O127" s="4" t="n">
        <v>362</v>
      </c>
      <c r="P127" s="44" t="n">
        <v>350</v>
      </c>
      <c r="Q127" s="6" t="n">
        <v>21.5</v>
      </c>
      <c r="R127" s="6" t="n">
        <v>14</v>
      </c>
      <c r="S127" s="6" t="n">
        <v>2.5</v>
      </c>
      <c r="T127" s="6" t="n">
        <v>500</v>
      </c>
    </row>
    <row r="128" ht="20.1" customHeight="1">
      <c r="A128" s="6" t="n">
        <v>127</v>
      </c>
      <c r="B128" s="4" t="inlineStr">
        <is>
          <t>Tax</t>
        </is>
      </c>
      <c r="C128" s="4" t="inlineStr">
        <is>
          <t>OakBridge</t>
        </is>
      </c>
      <c r="D128" s="10" t="n">
        <v>9789395764384</v>
      </c>
      <c r="E128" s="10" t="n">
        <v>9395764384</v>
      </c>
      <c r="F128" s="5" t="inlineStr">
        <is>
          <t>Sanjay Kumar, SP Singh, and Sharad Goyal</t>
        </is>
      </c>
      <c r="G128" s="4" t="inlineStr">
        <is>
          <t>Royalty and FTS – Understanding Business and Tax Interplay</t>
        </is>
      </c>
      <c r="H128" s="6" t="inlineStr">
        <is>
          <t>It seeks to put Business &amp; Tax in the same bracket vis-à-vis the important subject of Royalty &amp; FTS.
• It also delves into the process and mechanism of how the valuation should be accurately done. The book has attempted to bring out the business, economics, and tax perspective on all these topics.
• In-depth analysis of 92 royalty agreements between unrelated parties and their impact on businesses
• Exhaustive coverage of natural resource royalty.
• Well suited to the</t>
        </is>
      </c>
      <c r="I128" s="6" t="inlineStr">
        <is>
          <t>Sanjay Kumar is a tax partner with Deloitte India. He is also the public policy leader for Deloitte India and Deloitte Asia- Pacific. Sanjay was earlier with the Indian Revenue Service for
more than 28 years. He teaches at Duke University, USA since 2007.
S P Singh (SP) is presently Senior Advisor to the Institute of Chartered Accountants of India (ICAI). He has worked with the Indian Revenue Service where he served for over two decades in various capacities. He then joined Deloitte India as Senior Director where he led several initiatives.
Sharad Goyal is a Chartered Accountant with 20 years of experience in public accounting and consulting. For over 12 years he worked with Deloitte, including 3 years’ secondment with
Deloitte, Japan. He is also a Registered Valuer (Securities &amp; Financial</t>
        </is>
      </c>
      <c r="J128" s="4" t="n">
        <v>1</v>
      </c>
      <c r="K128" s="4" t="inlineStr">
        <is>
          <t>English</t>
        </is>
      </c>
      <c r="L128" s="4" t="inlineStr">
        <is>
          <t>HB</t>
        </is>
      </c>
      <c r="M128" s="6" t="inlineStr">
        <is>
          <t>India</t>
        </is>
      </c>
      <c r="N128" s="20" t="n">
        <v>45039</v>
      </c>
      <c r="O128" s="4" t="n">
        <v>452</v>
      </c>
      <c r="P128" s="44" t="n">
        <v>1195</v>
      </c>
      <c r="Q128" s="6" t="n">
        <v>24</v>
      </c>
      <c r="R128" s="6" t="n">
        <v>18.5</v>
      </c>
      <c r="S128" s="6" t="n">
        <v>2.5</v>
      </c>
      <c r="T128" s="6" t="n">
        <v>800</v>
      </c>
    </row>
    <row r="129" ht="20.1" customHeight="1">
      <c r="A129" s="6" t="n">
        <v>128</v>
      </c>
      <c r="B129" s="4" t="inlineStr">
        <is>
          <t>Law</t>
        </is>
      </c>
      <c r="C129" s="4" t="inlineStr">
        <is>
          <t>OakBridge</t>
        </is>
      </c>
      <c r="D129" s="10" t="n">
        <v>9789395764179</v>
      </c>
      <c r="E129" s="10" t="n">
        <v>9395764171</v>
      </c>
      <c r="F129" s="5" t="inlineStr">
        <is>
          <t>Bhumesh Verma</t>
        </is>
      </c>
      <c r="G129" s="4" t="inlineStr">
        <is>
          <t>Contract Drafting – Tips and Tricks</t>
        </is>
      </c>
      <c r="H129" s="6" t="inlineStr">
        <is>
          <t>This book provides practical tips and insights for drafting legally binding contracts that protect the interests of all parties involved.
• The author illustrates common contract drafting issues and provides practical solutions for addressing them.
• With a focus on clear, concise language and a reader-friendly format, this book is an essential resource for anyone involved in contract drafting.
• The book aims to share tips for lawyers, legal professionals, and students who often ask for a perfect contract or how to become a contract drafting expert.</t>
        </is>
      </c>
      <c r="I129" s="6" t="inlineStr">
        <is>
          <t>Bhumesh Verma is the Managing Partner of Corp Comm Legal, an independent Indian law firm headquartered in New Delhi. He is also passionate about sharing his knowledge and
experience with the fraternity. An avid reader, a sought-after speaker, guest faculty and prolific writer, he has authored book on Drafting Commercial Contracts. With all this,
his name has become almost synonymous with commercial contracts – be it his legal practice, writing, teaching, training and what not.</t>
        </is>
      </c>
      <c r="J129" s="4" t="n">
        <v>1</v>
      </c>
      <c r="K129" s="4" t="inlineStr">
        <is>
          <t>English</t>
        </is>
      </c>
      <c r="L129" s="4" t="inlineStr">
        <is>
          <t>PB</t>
        </is>
      </c>
      <c r="M129" s="6" t="inlineStr">
        <is>
          <t>India</t>
        </is>
      </c>
      <c r="N129" s="20" t="n">
        <v>45039</v>
      </c>
      <c r="O129" s="4" t="n">
        <v>174</v>
      </c>
      <c r="P129" s="44" t="n">
        <v>395</v>
      </c>
      <c r="Q129" s="6" t="n">
        <v>24</v>
      </c>
      <c r="R129" s="6" t="n">
        <v>16</v>
      </c>
      <c r="S129" s="6" t="n">
        <v>2.5</v>
      </c>
      <c r="T129" s="6" t="n">
        <v>200</v>
      </c>
    </row>
    <row r="130" ht="20.1" customHeight="1">
      <c r="A130" s="6" t="n">
        <v>129</v>
      </c>
      <c r="B130" s="4" t="inlineStr">
        <is>
          <t>BGR</t>
        </is>
      </c>
      <c r="C130" s="4" t="inlineStr">
        <is>
          <t>Cursive</t>
        </is>
      </c>
      <c r="D130" s="10" t="n">
        <v>9789395764247</v>
      </c>
      <c r="E130" s="10" t="n">
        <v>9395764244</v>
      </c>
      <c r="F130" s="5" t="inlineStr">
        <is>
          <t>Aanya Chand</t>
        </is>
      </c>
      <c r="G130" s="4" t="inlineStr">
        <is>
          <t>Fairytales – A Poetry Anthology</t>
        </is>
      </c>
      <c r="H130" s="6" t="inlineStr">
        <is>
          <t>•	The book paints a portrait of love—an emotion felt by all but understood by none.
•	From the all-consuming flames of a young love to the cold emptiness of heartbreak.
•	It captures the imagination of every hopeless romantic who dreams of finding a fairytale romance.</t>
        </is>
      </c>
      <c r="I130" s="6" t="inlineStr">
        <is>
          <t>Aanya Chand, 15 years of age is a student and writer from Mumbai, she shares her passion for literature through social media, aspiring to encourage young adults to
more, authentically express themselves.
Owning a ‘bookstagram’, she is also an avid reader. Having started writing at 11, “Fairytales” is her very first publication</t>
        </is>
      </c>
      <c r="J130" s="4" t="n">
        <v>1</v>
      </c>
      <c r="K130" s="4" t="inlineStr">
        <is>
          <t>English</t>
        </is>
      </c>
      <c r="L130" s="4" t="inlineStr">
        <is>
          <t>PB</t>
        </is>
      </c>
      <c r="M130" s="6" t="inlineStr">
        <is>
          <t>India</t>
        </is>
      </c>
      <c r="N130" s="20" t="n">
        <v>45039</v>
      </c>
      <c r="O130" s="4" t="n">
        <v>32</v>
      </c>
      <c r="P130" s="44" t="n">
        <v>175</v>
      </c>
      <c r="Q130" s="6" t="n">
        <v>21.5</v>
      </c>
      <c r="R130" s="6" t="n">
        <v>14</v>
      </c>
      <c r="S130" s="6" t="n">
        <v>2.5</v>
      </c>
      <c r="T130" s="6" t="n">
        <v>120</v>
      </c>
    </row>
    <row r="131" ht="20.1" customHeight="1">
      <c r="A131" s="6" t="n">
        <v>130</v>
      </c>
      <c r="B131" s="4" t="inlineStr">
        <is>
          <t>Law</t>
        </is>
      </c>
      <c r="C131" s="4" t="inlineStr">
        <is>
          <t>OakBridge</t>
        </is>
      </c>
      <c r="D131" s="10" t="n">
        <v>9789395764254</v>
      </c>
      <c r="E131" s="10" t="n">
        <v>9395764252</v>
      </c>
      <c r="F131" s="5" t="inlineStr">
        <is>
          <t>Dr. Bharat Nain</t>
        </is>
      </c>
      <c r="G131" s="4" t="inlineStr">
        <is>
          <t>FAQ’s on the POSH Act</t>
        </is>
      </c>
      <c r="H131" s="6" t="inlineStr">
        <is>
          <t>The topic of sexual harassment at the workplace has received great attention over the last few years, and rightly so. It is a scourge that must be eradicated. The book explains the POSH Act in a Q&amp;A format covering all aspects of sexual harassment at the workplace, including its prevention. It is written in simple language and will benefit HR professionals, leaders &amp; employees. The book also contains easy to interpret infographics, and templates relevant to the POSH Act, along with a draft “Prevention of Sexual Harassment Policy” that can be adapted by any organisation.</t>
        </is>
      </c>
      <c r="I131" s="6" t="inlineStr">
        <is>
          <t>Dr. Bharat Nain is a corporate professional with 40+ years’ experience, including 26 years in Executive Search, HR consulting &amp; Executive Coaching. He is the Founder-Director of United Resource Consultants Pvt Ltd and a POSH Advisor-Consultant- Trainer for organisations. Dr Nain is also a trained professional Arbitrator and has completed the Fellowship in International Arbitration from SIArb Singapore, as well as Membership from CIArb, London. He is the co-author of 'FAQs on Arbitration in India', a comprehensive book on the subject of Arbitration.</t>
        </is>
      </c>
      <c r="J131" s="4" t="n">
        <v>1</v>
      </c>
      <c r="K131" s="4" t="inlineStr">
        <is>
          <t>English</t>
        </is>
      </c>
      <c r="L131" s="4" t="inlineStr">
        <is>
          <t>PB</t>
        </is>
      </c>
      <c r="M131" s="6" t="inlineStr">
        <is>
          <t>India</t>
        </is>
      </c>
      <c r="N131" s="20" t="n">
        <v>45039</v>
      </c>
      <c r="O131" s="4" t="n">
        <v>246</v>
      </c>
      <c r="P131" s="44" t="n">
        <v>695</v>
      </c>
      <c r="Q131" s="6" t="n">
        <v>21.5</v>
      </c>
      <c r="R131" s="6" t="n">
        <v>14</v>
      </c>
      <c r="S131" s="6" t="n">
        <v>2.5</v>
      </c>
      <c r="T131" s="6" t="n">
        <v>300</v>
      </c>
    </row>
    <row r="132" ht="20.1" customHeight="1">
      <c r="A132" s="6" t="n">
        <v>131</v>
      </c>
      <c r="B132" s="4" t="inlineStr">
        <is>
          <t xml:space="preserve">Tax </t>
        </is>
      </c>
      <c r="C132" s="4" t="inlineStr">
        <is>
          <t>OakBridge</t>
        </is>
      </c>
      <c r="D132" s="10" t="n">
        <v>9789395764421</v>
      </c>
      <c r="E132" s="10" t="n">
        <v>9395764422</v>
      </c>
      <c r="F132" s="5" t="inlineStr">
        <is>
          <t>Krupa Venkatesh</t>
        </is>
      </c>
      <c r="G132" s="4" t="inlineStr">
        <is>
          <t>An Analysis of GST Advance Rulings – Important Propositions</t>
        </is>
      </c>
      <c r="H132" s="6" t="inlineStr">
        <is>
          <t>•	As with all new legislations, there are ambiguous provisions and new concepts subject to interpretations. 
•	Advance Rulings are powerful tools for planning and tax risk mitigation.
•	This publication covers important Advance Rulings and Appellate Advance Rulings, with suitable notations, wherever required under GST from 2017 to January 2023. 
•	It is meant to be a reference book for tax professionals since it groups advance rulings based on propositions and makes an easy read.</t>
        </is>
      </c>
      <c r="I132" s="6" t="inlineStr">
        <is>
          <t>Krupa Venkatesh is an indirect tax professional with nearly 33 years of experience. She is a Cost Accountant and Company Secretary by qualification and has wide ranging experience in various aspects of indirect taxes.
She started her career with the Government of India and then worked with Deloitte India for 14 years, where she was a Partner in charge on the Bangalore and Chennai Indirect tax practices. She was instrumental in setting up the Bangalore, Chennai Indirect Tax practice and has advised several Indian and multinational clients in manufacturing, banking, insurance, retail, e-commerce, and other service sectors. She spent 3 years with Amazon India as Director for India taxes where she spearheaded the implementation of GST for all of Amazon India entities. Currently, she mentors Consark Advisory Services LLP, a boutique advisory services firm.</t>
        </is>
      </c>
      <c r="J132" s="4" t="n">
        <v>1</v>
      </c>
      <c r="K132" s="4" t="inlineStr">
        <is>
          <t>English</t>
        </is>
      </c>
      <c r="L132" s="4" t="inlineStr">
        <is>
          <t>PB</t>
        </is>
      </c>
      <c r="M132" s="6" t="inlineStr">
        <is>
          <t>India</t>
        </is>
      </c>
      <c r="N132" s="20" t="n">
        <v>45069</v>
      </c>
      <c r="O132" s="4" t="n">
        <v>178</v>
      </c>
      <c r="P132" s="44" t="n">
        <v>650</v>
      </c>
      <c r="Q132" s="6" t="n">
        <v>21.5</v>
      </c>
      <c r="R132" s="6" t="n">
        <v>14</v>
      </c>
      <c r="S132" s="6" t="n">
        <v>2.5</v>
      </c>
      <c r="T132" s="6" t="n">
        <v>250</v>
      </c>
    </row>
    <row r="133" ht="20.1" customHeight="1">
      <c r="A133" s="6" t="n">
        <v>132</v>
      </c>
      <c r="B133" s="4" t="inlineStr">
        <is>
          <t>Law</t>
        </is>
      </c>
      <c r="C133" s="4" t="inlineStr">
        <is>
          <t>OakBridge</t>
        </is>
      </c>
      <c r="D133" s="10" t="n">
        <v>9789395764452</v>
      </c>
      <c r="E133" s="10" t="n">
        <v>9395764457</v>
      </c>
      <c r="F133" s="5" t="inlineStr">
        <is>
          <t>Sumit Pahwa</t>
        </is>
      </c>
      <c r="G133" s="4" t="inlineStr">
        <is>
          <t>Corporate Law Referencer (2 Vol. Set)</t>
        </is>
      </c>
      <c r="H133" s="6" t="inlineStr">
        <is>
          <t xml:space="preserve">Corporate Law Referencer presents a 360o view of the Companies Act, 2013 with section-wise arrangement of all Circulars, Orders, Rules &amp; Notifications including Procedures, FAQs, Judicial Precedents and Forms. 9th Edition, updated upto 10th May 2023 includes:
•	Companies Act, 2013 and Limited Liability Partnership Act, 2008 updated upto 10th May 2023 
•	Annual editions regularly updated to incorporate legislative changes 
•	Section is the King - All Circulars, Orders, Rules and Notifications (CORN) including Procedures, FAQs and Judicial Precedents have been placed below the relevant section
•	Compliance checklists and tables on Compliances for Listed Companies under the LODR, Takeover code, Insider Trading, Buy-Back and ESOP &amp; Sweat Equity Regulations 
•	Quick Referencers containing 100+ procedures and compliance checklists for both Listed and Unlisted Companies 
•	700+ FAQs on grey areas and practical issues 
•	150+ landmark judgments on key issues
•	Formats of 100+ resolutions under relevant sections 
•	Secretarial Standards 
•	NCLT and NCLAT Rules 2016 
•	21 Quick Reference Tables (QRTs) </t>
        </is>
      </c>
      <c r="I133" s="6" t="inlineStr">
        <is>
          <t>eMinds Legal is a boutique Corporate Law Firm based in Gurgaon, India, specializing in Corporate Secretarial, Corporate Legal, Compliance, Accounting &amp; Payroll. The firm comprises of a team of around 40+ professionals with in-depth subject matter knowledge and Partners having industry experience of over 20 years each. Sumit Pahwa, Partner, eMinds Legal is the lead author of the book. A Corporate Lawyer &amp; Company Secretary, Sumit is the Co-founder of Complinity - Governance, Risk and Compliance Software. Sumit has over 20 years of experience and is an expert in Corporate Laws, Insolvency and Bankruptcy Code (IBC), and Cyber. Sumit regularly appears before the benches of National Company Law Tribunal (NCLT) in relation to IBC, shareholder disputes and other matters.</t>
        </is>
      </c>
      <c r="J133" s="4" t="n">
        <v>9</v>
      </c>
      <c r="K133" s="4" t="inlineStr">
        <is>
          <t>English</t>
        </is>
      </c>
      <c r="L133" s="4" t="inlineStr">
        <is>
          <t>PB</t>
        </is>
      </c>
      <c r="M133" s="6" t="inlineStr">
        <is>
          <t>India</t>
        </is>
      </c>
      <c r="N133" s="20" t="n">
        <v>45069</v>
      </c>
      <c r="O133" s="4" t="n">
        <v>2652</v>
      </c>
      <c r="P133" s="44" t="n">
        <v>3850</v>
      </c>
      <c r="Q133" s="6" t="n">
        <v>21.5</v>
      </c>
      <c r="R133" s="6" t="n">
        <v>14</v>
      </c>
      <c r="S133" s="6" t="n">
        <v>2.5</v>
      </c>
      <c r="T133" s="6" t="n">
        <v>1300</v>
      </c>
    </row>
    <row r="134" ht="20.1" customHeight="1">
      <c r="A134" s="6" t="n">
        <v>133</v>
      </c>
      <c r="B134" s="4" t="inlineStr">
        <is>
          <t xml:space="preserve">BGR </t>
        </is>
      </c>
      <c r="C134" s="4" t="inlineStr">
        <is>
          <t>OakBridge</t>
        </is>
      </c>
      <c r="D134" s="10" t="n">
        <v>9789395764360</v>
      </c>
      <c r="E134" s="10" t="n">
        <v>9395764368</v>
      </c>
      <c r="F134" s="5" t="inlineStr">
        <is>
          <t>Sameer Kochhar</t>
        </is>
      </c>
      <c r="G134" s="4" t="inlineStr">
        <is>
          <t>India 2047 – High Income With Equity</t>
        </is>
      </c>
      <c r="H134" s="6" t="inlineStr">
        <is>
          <t>Pre-COVID, India had set a target to become a $10 trillion economy by 2030 the action plan for which was outlined in my earlier volume, “India 2030”, released in December 2018. This emphasised the need for quality growth that is job-generative, spatially dispersed, and equitable. 
“India 2047” deals with macroeconomic essentials and emphasises the need for structural transformation, organising the labour markets, increasing competitiveness, enhancing financial and social inclusion with equitable growth, the role of federalism in inclusive growth, imperatives for job-generation, and the importance of infrastructure development and financing.
Despite the COVID-19 pandemic, India has remained afloat, and Prime Minister Narendra Modi has put India in top-gear, setting an ambitious target for the country to become a developed nation by 2047. The next 25 years are going to be critical, and he calls it Amrit Kal, during which India will be focusing on reducing import dependence, reducing compliance costs for small businesses, harnessing digital infrastructure and modern technologies, promoting domestic manufacturing, and taking global leadership—the G20 being one example. This volume aims to review progress and make recommendations to bridge gaps in line with the new target date and objectives. It also discusses the macroeconomic essentials required to make India a high-income country with equity.</t>
        </is>
      </c>
      <c r="I134" s="6" t="inlineStr">
        <is>
          <t>Reforms historian and author of the best-seller ModiNomics, Sameer Kochhar is
Chairman, SKOCH Group. He is a passionate advocate of social, digital, and
financial inclusion and is a foremost expert on governance and inclusive growth.
His work has been acclaimed globally and endorsed by Narendra Modi, M. Venkaiah
Naidu, Manmohan Singh, Arun Jaitley, P. Chidambaram, Yashwant Sinha,
C. Rangarajan and Montek Singh Ahluwalia.
In his thinking, writings, and activities, his profound admiration for India’s economic
reforms and, by extension, those outstanding personalities who strive to make these
reforms more meaningful and broad-based comes out clearly and unambiguously.
He has published over 17 volumes, the most notable being India 2030: A Socio-Economic
Paradigm; ModiNomics; Defeating Poverty: Jan Dhan and Beyond; and Modi’s Odyssey:
Digital India, Developed India.</t>
        </is>
      </c>
      <c r="J134" s="4" t="n">
        <v>1</v>
      </c>
      <c r="K134" s="4" t="inlineStr">
        <is>
          <t xml:space="preserve">English </t>
        </is>
      </c>
      <c r="L134" s="4" t="inlineStr">
        <is>
          <t>HB</t>
        </is>
      </c>
      <c r="M134" s="6" t="inlineStr">
        <is>
          <t>India</t>
        </is>
      </c>
      <c r="N134" s="20" t="n">
        <v>45069</v>
      </c>
      <c r="O134" s="4" t="n">
        <v>340</v>
      </c>
      <c r="P134" s="44" t="n">
        <v>995</v>
      </c>
      <c r="Q134" s="6" t="n">
        <v>24</v>
      </c>
      <c r="R134" s="6" t="n">
        <v>16</v>
      </c>
      <c r="S134" s="6" t="n">
        <v>2.5</v>
      </c>
      <c r="T134" s="6" t="n">
        <v>600</v>
      </c>
    </row>
    <row r="135" ht="20.1" customHeight="1">
      <c r="A135" s="6" t="n">
        <v>134</v>
      </c>
      <c r="B135" s="4" t="inlineStr">
        <is>
          <t>Law</t>
        </is>
      </c>
      <c r="C135" s="4" t="inlineStr">
        <is>
          <t>OakBridge</t>
        </is>
      </c>
      <c r="D135" s="10" t="n">
        <v>9789395764322</v>
      </c>
      <c r="E135" s="10" t="n">
        <v>9395764325</v>
      </c>
      <c r="F135" s="5" t="inlineStr">
        <is>
          <t>Nisshant Laroia and Jonathan Rodrigues</t>
        </is>
      </c>
      <c r="G135" s="4" t="inlineStr">
        <is>
          <t>Mediation Simplified – An Interactive Workbook</t>
        </is>
      </c>
      <c r="H135" s="6" t="inlineStr">
        <is>
          <t>•	Mediation Simplified is India’s first interactive workbook on negotiation and mediation, which aims to support the academia who are being tasked to either research or teach the subject at universities across the country.
•	A genuine attempt to illustrate the theory of mediation in a practical and relatable manner. 
•	The intricately curated chapters allow the reader an immersive experience to reflect on conflicting simulations and apply practical tools to strategically de-escalate, objectively analyse, and amicably resolve the conflicting situation.
•	Practitioners of mediation, whether lawyers or mediators, who are not oriented with the subject will also find the book to be a handy tool for research and quick learning.</t>
        </is>
      </c>
      <c r="I135" s="6" t="inlineStr">
        <is>
          <t>Nisshant Laroia is a dynamic Mediator, Mediation Advocate, and Co-Founder of The PACT. He’s a law graduate from Gujarat National Law University and a GLASS scholar. He was awarded by Mr. Kiren Rijiju, Hon’ble Law Minister, Government of India, for his contribution to the field of Conflict Resolution. Nisshant’s credentials in the field of dispute resolution include being an Accredited Mediator at various prestigious institutes such as the Indian Institute of Corporate Affairs (IICA), Government of India, the Indian Institute of Arbitration
and Mediation (IIAM), Edwards Mediation Academy, and a certified cross-border mediator &amp; scholarship holder at PSMA, Charles University, Prague. He also holds the esteemed title of Accredited Mediation Advocate from SCMA London.
Jonathan Rodrigues is a certified mediator, with an academic background in Psychology and Law from Goa University, India. Jonathan completed his LL.M. studies in Mediation and Conflict Resolution, graduating with a distinction from the University of Strathclyde, UK.
Jonathan co-founded The PACT, a firm dedicated to mediation awareness and training. Through various educational initiatives hosted by The PACT, Jonathan has been able to work with nearly 12,000 law students in India, initiating them into the world of mediation.</t>
        </is>
      </c>
      <c r="J135" s="4" t="n">
        <v>1</v>
      </c>
      <c r="K135" s="4" t="inlineStr">
        <is>
          <t>English</t>
        </is>
      </c>
      <c r="L135" s="4" t="inlineStr">
        <is>
          <t>PB</t>
        </is>
      </c>
      <c r="M135" s="6" t="inlineStr">
        <is>
          <t>India</t>
        </is>
      </c>
      <c r="N135" s="20" t="n">
        <v>45069</v>
      </c>
      <c r="O135" s="4" t="n">
        <v>360</v>
      </c>
      <c r="P135" s="44" t="n">
        <v>795</v>
      </c>
      <c r="Q135" s="6" t="n">
        <v>24</v>
      </c>
      <c r="R135" s="6" t="n">
        <v>16</v>
      </c>
      <c r="S135" s="6" t="n">
        <v>2.5</v>
      </c>
      <c r="T135" s="6" t="n">
        <v>500</v>
      </c>
    </row>
    <row r="136" ht="20.1" customHeight="1">
      <c r="A136" s="6" t="n">
        <v>135</v>
      </c>
      <c r="B136" s="4" t="inlineStr">
        <is>
          <t>Academic</t>
        </is>
      </c>
      <c r="C136" s="4" t="inlineStr">
        <is>
          <t>OakBridge</t>
        </is>
      </c>
      <c r="D136" s="10" t="n">
        <v>9789395764353</v>
      </c>
      <c r="E136" s="10" t="inlineStr">
        <is>
          <t>939576435X</t>
        </is>
      </c>
      <c r="F136" s="5" t="inlineStr">
        <is>
          <t>Lohit Matani, IPS</t>
        </is>
      </c>
      <c r="G136" s="4" t="inlineStr">
        <is>
          <t>Public Administration and Public Policy Vol I</t>
        </is>
      </c>
      <c r="H136" s="6" t="inlineStr">
        <is>
          <t>Public Administration and Public Policy (Volume I) is specially aimed at the aspirants of the Civil Services (Main) Examination. It will also be useful for the aspirants of various state services examinations.
This book is strictly aligned with the syllabus of Public Administration prescribed by UPSC. Going along the line of the syllabus, the book deals with the various aspects of administrative and organisational management and incorporates the thoughts and philosophies of various administrative scholars. Based on the evolution and scope of public administration, the book delves deep into the various paradigms and facets of public administration. In line with the UPSC syllabus, the text includes topics such as administrative thinkers, administrative laws, development administration, accountability and control, and financial management. To facilitate quick assessment, each chapter is followed by a detailed compilation of relevant questions from previous years, as well as practice questions and exercises.
The book includes flowcharts, diagrams, and mind maps to facilitate understanding and retention of concepts. Written in extremely clear and simple language, the book serves as a comprehensive textbook for Paper 1 in Public Administration.
Key Features
•	Provides chapter-by-chapter practise questions for self-assessment.
•	Guide with answers to questions asked over the last 34 years.
•	Contains a trend analysis of assignments over the last few years (2012 to 2022)</t>
        </is>
      </c>
      <c r="I136" s="6" t="inlineStr">
        <is>
          <t>Lohit Matani is an Indian Police Service (IPS) officer of the 2014 batch posted in the Maharashtra cadre. He has done B.Tech and M.Tech in Material Science and Technology from the Indian Institute of Technology (IIT), Banaras Hindu University (BHU), Varanasi. He has also done LLB from Maharashtra and is currently pursuing a Ph.D. in Cyber Crime from National Law University, Nagpur.
Before this book, he has authored three more books- (1) Internal Security, (2) Introduction to Civil Services, (3) Public Administration and Public Policy (Volume II) with OakBridge. Lohit loves interacting with the young students and candidates preparing for the civil services examination through his articles, blogs, and books. He is a writer of the blog “lohitmatani.wordpress.com”.</t>
        </is>
      </c>
      <c r="J136" s="4" t="n">
        <v>2</v>
      </c>
      <c r="K136" s="4" t="inlineStr">
        <is>
          <t>English</t>
        </is>
      </c>
      <c r="L136" s="4" t="inlineStr">
        <is>
          <t>PB</t>
        </is>
      </c>
      <c r="M136" s="6" t="inlineStr">
        <is>
          <t>India</t>
        </is>
      </c>
      <c r="N136" s="20" t="n">
        <v>45039</v>
      </c>
      <c r="O136" s="4" t="n">
        <v>852</v>
      </c>
      <c r="P136" s="44" t="n">
        <v>795</v>
      </c>
      <c r="Q136" s="6" t="n">
        <v>24</v>
      </c>
      <c r="R136" s="6" t="n">
        <v>16</v>
      </c>
      <c r="S136" s="6" t="n">
        <v>2.5</v>
      </c>
      <c r="T136" s="6" t="n">
        <v>1000</v>
      </c>
    </row>
    <row r="137" ht="20.1" customHeight="1">
      <c r="A137" s="6" t="n">
        <v>136</v>
      </c>
      <c r="B137" s="4" t="inlineStr">
        <is>
          <t>Academic</t>
        </is>
      </c>
      <c r="C137" s="4" t="inlineStr">
        <is>
          <t>Edge</t>
        </is>
      </c>
      <c r="D137" s="10" t="n">
        <v>9789395764445</v>
      </c>
      <c r="E137" s="10" t="n">
        <v>9395764449</v>
      </c>
      <c r="F137" s="5" t="inlineStr">
        <is>
          <t>OakBridge</t>
        </is>
      </c>
      <c r="G137" s="4" t="inlineStr">
        <is>
          <t>General Studies Series Part 5 -Indian Economy and Socio-Economic Developments</t>
        </is>
      </c>
      <c r="H137" s="6" t="inlineStr">
        <is>
          <t>General Studies Series Part 5 – Indian Economy and Socio- Economic Developments has been written for the aspirants of Civil Services Examination. It will also help the students in the preparation of various state services examinations.
Starting from the basic concepts of economics, the book covers various aspects of Indian economy. It delves deep into the various facets of the economy including money market, capital market, fund regulators, planning and foreign exchange. The book also deals with latest developments in the domain of Indian economy. At the end of the book, practice questions, based on the latest pattern of UPSC, have been provided for the purpose of self-assessment.
Key features
•	Latest updates on Union Budget 2023–24 and Economic Survey 2022–23
•	Comprehensive coverage of the Concepts of Economy, Food Security &amp; Food Management and Health and Education
•	Provides solved questions of the previous years’ preliminary examinations from the year 2011 to 2022.
•	Presents 120 practice MCQs for self-assessment.
•	• Provides trend analysis of the Civil Services Preliminary Examination 2020–2022</t>
        </is>
      </c>
      <c r="I137" s="6" t="inlineStr">
        <is>
          <t xml:space="preserve">OakBridge </t>
        </is>
      </c>
      <c r="J137" s="4" t="n">
        <v>2</v>
      </c>
      <c r="K137" s="4" t="inlineStr">
        <is>
          <t>English</t>
        </is>
      </c>
      <c r="L137" s="4" t="inlineStr">
        <is>
          <t>PB</t>
        </is>
      </c>
      <c r="M137" s="6" t="inlineStr">
        <is>
          <t>India</t>
        </is>
      </c>
      <c r="N137" s="20" t="n">
        <v>45039</v>
      </c>
      <c r="O137" s="4" t="n">
        <v>224</v>
      </c>
      <c r="P137" s="44" t="n">
        <v>295</v>
      </c>
      <c r="Q137" s="6" t="n">
        <v>24</v>
      </c>
      <c r="R137" s="6" t="n">
        <v>18.5</v>
      </c>
      <c r="S137" s="6" t="n">
        <v>2.5</v>
      </c>
      <c r="T137" s="6" t="n">
        <v>300</v>
      </c>
    </row>
    <row r="138" ht="20.1" customHeight="1">
      <c r="A138" s="6" t="n">
        <v>137</v>
      </c>
      <c r="B138" s="4" t="inlineStr">
        <is>
          <t>Academic</t>
        </is>
      </c>
      <c r="C138" s="4" t="inlineStr">
        <is>
          <t>Edge</t>
        </is>
      </c>
      <c r="D138" s="10" t="n">
        <v>9789395764476</v>
      </c>
      <c r="E138" s="10" t="n">
        <v>9395764473</v>
      </c>
      <c r="F138" s="5" t="inlineStr">
        <is>
          <t>Dr Zubairul Islam</t>
        </is>
      </c>
      <c r="G138" s="4" t="inlineStr">
        <is>
          <t>NCERT-India and World Geography</t>
        </is>
      </c>
      <c r="H138" s="6" t="inlineStr">
        <is>
          <t>The NCERT India and World Geography series from OakBridge Publishing comprehensively. covers NCERT Old+ NEW (Class 6-12) and serves as a valuable resource for students preparing for civil services examinations in particular and other examinations in general. It provides selective, systematic, and organised insights into the geographical dimensions of India and the world.
The book consists of three parts - the first dealing with the physical and human aspects of Indian geography; the second with a deeper understanding of the origins of the earth, its geological structure and the dynamic forces that shape its surface; the third dealing with the composition of the human population, examining factors such as age, gender, ethnicity, and migration.
We hope that this book will serve as a springboard to a broader perspective of geography and inspire readers to prepare for various examinations.</t>
        </is>
      </c>
      <c r="I138" s="6" t="inlineStr">
        <is>
          <t>Dr Zubairul Islam is an Associate Professor in the Department of Geography and Environmental Management at the University of Abuja in Nigeria. He has over 20 years of teaching and research experience, focusing on GIS and remote sensing-based research and projects. He holds a PhD in Geography and GIS Analysis from M.J.P. Rohilkhand University, India.
In addition to his academic work, Dr. Islam has industrial experience in 3D analysis of drone data and urban planning and has worked as GIS expert for Adigrat Structure Plan. He has also guided PhD students on various topics related to resource management, population dynamics, and land use and land cover change at the village level in Bareilly district.</t>
        </is>
      </c>
      <c r="J138" s="4" t="n">
        <v>1</v>
      </c>
      <c r="K138" s="4" t="inlineStr">
        <is>
          <t>English</t>
        </is>
      </c>
      <c r="L138" s="4" t="inlineStr">
        <is>
          <t>PB</t>
        </is>
      </c>
      <c r="M138" s="6" t="inlineStr">
        <is>
          <t>India</t>
        </is>
      </c>
      <c r="N138" s="20" t="n">
        <v>45078</v>
      </c>
      <c r="O138" s="4" t="n">
        <v>474</v>
      </c>
      <c r="P138" s="44" t="n">
        <v>470</v>
      </c>
      <c r="Q138" s="6" t="n">
        <v>24</v>
      </c>
      <c r="R138" s="6" t="n">
        <v>18.5</v>
      </c>
      <c r="S138" s="6" t="n">
        <v>2.5</v>
      </c>
      <c r="T138" s="6" t="n">
        <v>600</v>
      </c>
    </row>
    <row r="139" ht="20.1" customHeight="1">
      <c r="A139" s="6" t="n">
        <v>138</v>
      </c>
      <c r="B139" s="4" t="inlineStr">
        <is>
          <t>Law</t>
        </is>
      </c>
      <c r="C139" s="4" t="inlineStr">
        <is>
          <t>OakBridge</t>
        </is>
      </c>
      <c r="D139" s="10" t="n">
        <v>9789395764162</v>
      </c>
      <c r="E139" s="10" t="n">
        <v>9395764163</v>
      </c>
      <c r="F139" s="5" t="inlineStr">
        <is>
          <t>Himanshu Tewari</t>
        </is>
      </c>
      <c r="G139" s="4" t="inlineStr">
        <is>
          <t>Rising Relevance of Quality Control and Bureau of Indian Standards</t>
        </is>
      </c>
      <c r="H139" s="6" t="inlineStr">
        <is>
          <t>An easy-to-read and understandable collection that touches on essential parts of BIS quality control regulation in India and its interplay with the way of doing business in India.
It provides a roadmap for companies looking to engage with India’s high quality
licensing framework.
The book connects the dots of practical advice to create an easy-to-follow picture while encouraging action and flow in the midst of analysis.</t>
        </is>
      </c>
      <c r="I139" s="6" t="inlineStr">
        <is>
          <t>Himanshu Tewari is a respected professional with thirty years of assorted work experience. He is a Partner with KPMG in India and leads its Trade &amp; Customs Services practice. He focuses on international trade transactions in the global value chain and its interplay with business metrices – market access, market share, revenue, cost optimization and margin governance. Himanshu is a graduate from Indian Institute of Technology, Kanpur. Himanshu is deeply engaged in discussion around India Trade Policy 2.0 - post 2023, and its impact on global businesses. As the Indian economy marches towards its US$ 10 trillion ambition, this book is a humble effort in picking a topic, which is an important building block of India’s Trade Policy 2.0. The author hopes that this book will be of help to global businesses interested in engaging with India’s economic
growth story.</t>
        </is>
      </c>
      <c r="J139" s="4" t="n">
        <v>1</v>
      </c>
      <c r="K139" s="4" t="inlineStr">
        <is>
          <t>English</t>
        </is>
      </c>
      <c r="L139" s="4" t="inlineStr">
        <is>
          <t>HB</t>
        </is>
      </c>
      <c r="M139" s="6" t="inlineStr">
        <is>
          <t>India</t>
        </is>
      </c>
      <c r="N139" s="20" t="n">
        <v>45078</v>
      </c>
      <c r="O139" s="4" t="n">
        <v>242</v>
      </c>
      <c r="P139" s="44" t="n">
        <v>995</v>
      </c>
      <c r="Q139" s="6" t="n">
        <v>24</v>
      </c>
      <c r="R139" s="6" t="n">
        <v>18.5</v>
      </c>
      <c r="S139" s="6" t="n">
        <v>2.5</v>
      </c>
      <c r="T139" s="6" t="n">
        <v>350</v>
      </c>
    </row>
    <row r="140" ht="20.1" customHeight="1">
      <c r="A140" s="6" t="n">
        <v>139</v>
      </c>
      <c r="B140" s="4" t="inlineStr">
        <is>
          <t xml:space="preserve">Academic </t>
        </is>
      </c>
      <c r="C140" s="4" t="inlineStr">
        <is>
          <t>Edge</t>
        </is>
      </c>
      <c r="D140" s="10" t="n">
        <v>9789395764506</v>
      </c>
      <c r="E140" s="10" t="n">
        <v>9395764503</v>
      </c>
      <c r="F140" s="5" t="inlineStr">
        <is>
          <t>Naveen Kumar Chandra, IAS</t>
        </is>
      </c>
      <c r="G140" s="4" t="inlineStr">
        <is>
          <t>Social Justice</t>
        </is>
      </c>
      <c r="H140" s="6" t="inlineStr">
        <is>
          <t>Social Justice is a comprehensive understanding of the subject, with particular attention to its relevance to the examination UPSC CSE. The book covers various aspects of social justice in India, including historical perspectives, emerging issues, policy frameworks and the role of public service in promoting social justice.
The book draws on a wide range of sources including academic literature, government reports and case studies to provide a nuanced and critical analysis of social justice in India. It aims to provide aspirants for the UPSC CSE examination with an in-depth understanding of the subject, which is essential for addressing social justice issues in the examination.
Through this book, we hope to contribute to the ongoing discourse on social justice in India and inspire a generation of civil service aspirants who are committed to equality, fairness, and justice in society.
Features
•	Well-researched book based on academic literature, government reports and case studies.
•	Inclusion of planners and strategies for GS paper II -Social Justice
•	Provides appendices of Global Indices and Ranking
•	Questions from previous years (2022-2013): UPSC Mains (GS paper II -Social Justice)</t>
        </is>
      </c>
      <c r="I140" s="6" t="inlineStr">
        <is>
          <t>Naveen Kumar Chandra is an avid reader and prolific writer. He is also very interested in subjects and topics such as economics, philosophy, psychology, physics, astronomy, music and art. He also
loves to paint and sketch. He writes on a variety of issues and topics and has published several books. He has a blog which he has been writing for over 10 years. Having graduated from IIT Roorkee, he is currently working as an IAS officer in the state of West Bengal.</t>
        </is>
      </c>
      <c r="J140" s="4" t="n">
        <v>1</v>
      </c>
      <c r="K140" s="4" t="inlineStr">
        <is>
          <t>English</t>
        </is>
      </c>
      <c r="L140" s="4" t="inlineStr">
        <is>
          <t>PB</t>
        </is>
      </c>
      <c r="M140" s="6" t="inlineStr">
        <is>
          <t>India</t>
        </is>
      </c>
      <c r="N140" s="20" t="n">
        <v>45108</v>
      </c>
      <c r="O140" s="4" t="n">
        <v>182</v>
      </c>
      <c r="P140" s="44" t="n">
        <v>230</v>
      </c>
      <c r="Q140" s="6" t="n">
        <v>24</v>
      </c>
      <c r="R140" s="6" t="n">
        <v>18.5</v>
      </c>
      <c r="S140" s="6" t="n">
        <v>2.5</v>
      </c>
      <c r="T140" s="6" t="n">
        <v>280</v>
      </c>
    </row>
    <row r="141" ht="20.1" customHeight="1">
      <c r="A141" s="6" t="n">
        <v>140</v>
      </c>
      <c r="B141" s="4" t="inlineStr">
        <is>
          <t xml:space="preserve">Academic </t>
        </is>
      </c>
      <c r="C141" s="4" t="inlineStr">
        <is>
          <t>Edge</t>
        </is>
      </c>
      <c r="D141" s="10" t="n">
        <v>9789395764469</v>
      </c>
      <c r="E141" s="10" t="n">
        <v>9395764465</v>
      </c>
      <c r="F141" s="5" t="inlineStr">
        <is>
          <t>Somesh Kumar Upadhyay, IAS</t>
        </is>
      </c>
      <c r="G141" s="4" t="inlineStr">
        <is>
          <t>Indian Geography Through Maps</t>
        </is>
      </c>
      <c r="H141" s="6" t="inlineStr">
        <is>
          <t>Indian Geography Through Maps is a comprehensive text specifically aimed for the aspirants of Civil Services examination. It will also be useful for those appearing in various State Services examinations.
The book will help the aspirants to discover the vibrant tapestry of India's geography as embark on a captivating journey through maps. The figures and data used in the book are the latest figures from government sources. In addition, the maps have been updated and illustrated for clarity.
This book is a first-of-its-kind attempt to provide a single book with brevity and simplicity that ease the Civil Services preparation journey of aspirants.
Key Features
•	With More than 100 Maps and Diagrams
•	Solved Previous Years Papers of Prelims (2014-2023)
•	Unsolved Previous Years Papers of Geography Optional and GS 1 (2014-2022)
•	Updated data and figures</t>
        </is>
      </c>
      <c r="I141" s="6" t="inlineStr">
        <is>
          <t>Somesh Kumar Upadhyay is an Indian administrative service officer of 2017 batch currently serving as the Collector &amp; DM of Deogarh district in Odisha. He has a master’s in biology (by Research) degree from the Tata Institute of Fundamental Research (TIFR), Mumbai along with UGC-NET and BSc (Hons) Microbiology degree from St. Xavier’s College, Kolkata.
Geography has been his most favourite subject since school and that is what motivated him to choose the optional in the UPSC CSE 2016 where he held AIR 34.</t>
        </is>
      </c>
      <c r="J141" s="4" t="n">
        <v>1</v>
      </c>
      <c r="K141" s="4" t="inlineStr">
        <is>
          <t>English</t>
        </is>
      </c>
      <c r="L141" s="4" t="inlineStr">
        <is>
          <t>PB</t>
        </is>
      </c>
      <c r="M141" s="6" t="inlineStr">
        <is>
          <t>India</t>
        </is>
      </c>
      <c r="N141" s="20" t="n">
        <v>45108</v>
      </c>
      <c r="O141" s="4" t="n">
        <v>222</v>
      </c>
      <c r="P141" s="44" t="n">
        <v>350</v>
      </c>
      <c r="Q141" s="6" t="n">
        <v>24</v>
      </c>
      <c r="R141" s="6" t="n">
        <v>18.5</v>
      </c>
      <c r="S141" s="6" t="n">
        <v>2.5</v>
      </c>
      <c r="T141" s="6" t="n">
        <v>300</v>
      </c>
    </row>
    <row r="142" ht="20.1" customHeight="1">
      <c r="A142" s="6" t="n">
        <v>141</v>
      </c>
      <c r="B142" s="4" t="inlineStr">
        <is>
          <t>Law</t>
        </is>
      </c>
      <c r="C142" s="4" t="inlineStr">
        <is>
          <t>OakBridge</t>
        </is>
      </c>
      <c r="D142" s="10" t="n">
        <v>9789395764544</v>
      </c>
      <c r="E142" s="10" t="n">
        <v>9395764546</v>
      </c>
      <c r="F142" s="5" t="inlineStr">
        <is>
          <t>Bhumesh Verma</t>
        </is>
      </c>
      <c r="G142" s="4" t="inlineStr">
        <is>
          <t>Practical Guide to Drafting Commercial Contracts 3/e</t>
        </is>
      </c>
      <c r="H142" s="6" t="inlineStr">
        <is>
          <t>Practical Guide to Drafting Commercial Contracts is a concise handbook enumerating the key aspects pertaining to drafting effective commercial agreements. Written in a lucid language, the author explains the factors that a draftsman must consider while drafting an agreement that clearly reflects the intent of the parties. A carefully drafted contract must be precise, comprehensive, devoid of contradictions, grammatically accurate and amenable to clear legal interpretation in case of disputes arising therefrom. Contract drafting is a crucial skill that every lawyer must acquire and hone. With the intent to expand the scope of discussion on the various facets of contract negotiation and drafting, especially in this technology driven era, the second edition includes new chapters on e-contracts, damages, intellectual property rights and negotiation. The book also provides specimen drafts of contracts for key commercial transactions for ease of reference by readers. The book will be useful for lawyers, law students and non-lawyers.Bhumesh Verma is the Managing Partner of Corp Comm Legal, an independent Indian law firm headquartered in New Delhi. Besides, he is the convenor of Global Business Lawyers’ League and The Indian Lawyers’ League. With over 25 years’ experience, he is one of the leading Indian senior corporate practitioners ranked inter alia in the ‘A List’ of the Top 100 Indian Lawyers by India Business Law Journal from time to time, most Admired Indian Lawyers, most followed Indian lawyers on LinkedIn, etc. An avid reader, a sought-after speaker, guest faculty and prolific writer, he has contributed to in-house journals of many international law firms on Indian laws and published more than 400 articles so far.</t>
        </is>
      </c>
      <c r="I142" s="6" t="inlineStr">
        <is>
          <t>Bhumesh Verma is the Managing Partner of Corp Comm Legal, an independent Indian law firm headquartered in New Delhi. Besides, he is the convenor of Global Business Lawyers’ League and The Indian Lawyers’ League. With over 25 years’ experience, he is one of the leading Indian senior corporate practitioners ranked inter alia in the ‘A List’ of the Top 100 Indian Lawyers by India Business Law Journal from time to time, most Admired Indian Lawyers, most followed Indian lawyers on LinkedIn, etc. An avid reader, a sought-after speaker, guest faculty and prolific writer, he has contributed to in-house journals of many international law firms on Indian laws and published more than 400 articles so far.</t>
        </is>
      </c>
      <c r="J142" s="4" t="n">
        <v>3</v>
      </c>
      <c r="K142" s="4" t="inlineStr">
        <is>
          <t>English</t>
        </is>
      </c>
      <c r="L142" s="4" t="inlineStr">
        <is>
          <t>PB</t>
        </is>
      </c>
      <c r="M142" s="6" t="inlineStr">
        <is>
          <t>India</t>
        </is>
      </c>
      <c r="N142" s="20" t="n">
        <v>43831</v>
      </c>
      <c r="O142" s="4" t="n">
        <v>694</v>
      </c>
      <c r="P142" s="44" t="n">
        <v>895</v>
      </c>
      <c r="Q142" s="6" t="n">
        <v>24</v>
      </c>
      <c r="R142" s="6" t="n">
        <v>16</v>
      </c>
      <c r="S142" s="6" t="n">
        <v>2.5</v>
      </c>
      <c r="T142" s="6" t="n">
        <v>600</v>
      </c>
    </row>
    <row r="143" ht="20.1" customHeight="1">
      <c r="A143" s="6" t="n">
        <v>142</v>
      </c>
      <c r="B143" s="4" t="inlineStr">
        <is>
          <t>Academic</t>
        </is>
      </c>
      <c r="C143" s="4" t="inlineStr">
        <is>
          <t>Edge</t>
        </is>
      </c>
      <c r="D143" s="10" t="n">
        <v>9789395764278</v>
      </c>
      <c r="E143" s="10" t="n">
        <v>9395764279</v>
      </c>
      <c r="F143" s="5" t="inlineStr">
        <is>
          <t>Neeraj Nachiketa</t>
        </is>
      </c>
      <c r="G143" s="4" t="inlineStr">
        <is>
          <t>Science and Technology – From Inception to Advancement</t>
        </is>
      </c>
      <c r="H143" s="6" t="inlineStr">
        <is>
          <t>Science and Technology - from Inception to Advancement, Third Edition is an authoritative and most updated book written for the aspirants of Civil Services Preliminary and Main Examinations. This book will also be useful for various state services examinations. Starting with the fundamentals of science and technology infrastructure in India, the book delves deep into the concepts and applications of technologies related to various areas like nuclear, space and defence among others. It provides a detailed insights on the new age technologies like Recombinant DNA Technology, Nanotechnology, Artificial Intelligence, Machine Learning, Blockchain, Cryptocurrencies, Internet of Things, Hyperloop, Electric Vehicles, Driverless cars, Robotics etc. While dealing with the scientific aspects of Covid-19, the book discusses the evolution of medical infrastructure during the time of pandemic. Dedicated chapters on agricultural technologies (hydroponics, aquaponics, bio-farming) and earth sciences have been provided for illustrating the change that technology can bring in a sector that employs majority of the Indian population. Diagrams and flowcharts have been used for better understanding.</t>
        </is>
      </c>
      <c r="I143" s="6" t="inlineStr">
        <is>
          <t>Neeraj Nachiketa is a trained Biotechnologist from IIT Bombay and also an alumnus of National Law School, Bengaluru. He is one of the most popular and sought after faculty member and has been guiding aspirants of the Civil Services Examination all over the country on Science and Technology for the past 17 years. Many of his students have qualified with top ranks and are serving in various capacities in the Government of India. He is also a member of the Bar Council of India and a practicing advocate in IPR. He has worked in corporates in various capacities in Bio-Medical field before joining the Bar Council as a Patent Law practitioner. He has pursued M.A. in Security and Defence law from NALSAR, Hyderabad.</t>
        </is>
      </c>
      <c r="J143" s="4" t="n">
        <v>3</v>
      </c>
      <c r="K143" s="4" t="inlineStr">
        <is>
          <t>English</t>
        </is>
      </c>
      <c r="L143" s="4" t="inlineStr">
        <is>
          <t>PB</t>
        </is>
      </c>
      <c r="M143" s="6" t="inlineStr">
        <is>
          <t>India</t>
        </is>
      </c>
      <c r="N143" s="20" t="n">
        <v>44440</v>
      </c>
      <c r="O143" s="4" t="n">
        <v>653</v>
      </c>
      <c r="P143" s="44" t="n">
        <v>595</v>
      </c>
      <c r="Q143" s="6" t="n">
        <v>24</v>
      </c>
      <c r="R143" s="6" t="n">
        <v>18.5</v>
      </c>
      <c r="S143" s="6" t="n">
        <v>2.5</v>
      </c>
      <c r="T143" s="6" t="n">
        <v>800</v>
      </c>
    </row>
    <row r="144" ht="20.1" customHeight="1">
      <c r="A144" s="6" t="n">
        <v>143</v>
      </c>
      <c r="B144" s="4" t="inlineStr">
        <is>
          <t>Academic</t>
        </is>
      </c>
      <c r="C144" s="4" t="inlineStr">
        <is>
          <t>Edge</t>
        </is>
      </c>
      <c r="D144" s="10" t="n">
        <v>9789395764636</v>
      </c>
      <c r="E144" s="10" t="n">
        <v>9395764635</v>
      </c>
      <c r="F144" s="5" t="inlineStr">
        <is>
          <t>A P Bhardwaj</t>
        </is>
      </c>
      <c r="G144" s="4" t="inlineStr">
        <is>
          <t xml:space="preserve">ESM English Studies Manual </t>
        </is>
      </c>
      <c r="H144" s="6" t="inlineStr">
        <is>
          <t>ESM (English Studies Manual) traces the increasing role and importance of the English language with changed patterns of CLAT &amp; AILET.
ESM is meticulously designed study material to enable the students to face new challenges. It is a clear, compact, and comprehensive book to enable students to prepare for the English section of Law Entrance Exams quickly and confidently.
•	6-in-1 Book
•	6 Parts, 25 Chapters, 300 PTs, 3000 MCQs
•	Complete Coverage of Vocabulary, English Usage, Grammar, Figures of speech, Comprehension, and Solved English section of CLAT/AILET (2021-2023)</t>
        </is>
      </c>
      <c r="I144" s="6" t="inlineStr">
        <is>
          <t>A P BHARDWAJ enjoys the stature and distinction of being the author of #1 NATIONAL BEST SELLER COMPULSORY ENGLISH for IAS (MAINS) for more than one decade. He is a brand name for his best-selling books LA/LR &amp; Legal Aptitude Workbook for CLAT, SLAT, AILET, PU, DU, BHU &amp; other Law Entrance Exams. He has the credit of enabling an umpteen number of students to enter National Law Universities and is known as CLAT GURU. He has been in the publishing field for the last 16 years and is the author of more than a dozen popular titles with nationally and internationally acclaimed publishers. He is popular in the tri-city of Chandigarh-Mohalli-Panchkula as an ELT expert. He is a highly sought-after trainer on YouTube.</t>
        </is>
      </c>
      <c r="J144" s="4" t="n">
        <v>1</v>
      </c>
      <c r="K144" s="4" t="inlineStr">
        <is>
          <t>English</t>
        </is>
      </c>
      <c r="L144" s="4" t="inlineStr">
        <is>
          <t>PB</t>
        </is>
      </c>
      <c r="M144" s="6" t="inlineStr">
        <is>
          <t>India</t>
        </is>
      </c>
      <c r="N144" s="20" t="n">
        <v>45161</v>
      </c>
      <c r="O144" s="4" t="n">
        <v>390</v>
      </c>
      <c r="P144" s="44" t="n">
        <v>395</v>
      </c>
      <c r="Q144" s="6" t="n">
        <v>24</v>
      </c>
      <c r="R144" s="6" t="n">
        <v>18.5</v>
      </c>
      <c r="S144" s="6" t="n">
        <v>2.5</v>
      </c>
      <c r="T144" s="6" t="n">
        <v>400</v>
      </c>
    </row>
    <row r="145" ht="20.1" customHeight="1">
      <c r="A145" s="6" t="n">
        <v>144</v>
      </c>
      <c r="B145" s="4" t="inlineStr">
        <is>
          <t>Law</t>
        </is>
      </c>
      <c r="C145" s="4" t="inlineStr">
        <is>
          <t>OakBridge</t>
        </is>
      </c>
      <c r="D145" s="10" t="n">
        <v>9789395764490</v>
      </c>
      <c r="E145" s="10" t="inlineStr">
        <is>
          <t>939576449X</t>
        </is>
      </c>
      <c r="F145" s="5" t="inlineStr">
        <is>
          <t>Bibek Debroy and Sameer Kochhar</t>
        </is>
      </c>
      <c r="G145" s="4" t="inlineStr">
        <is>
          <t>At the Intersection of Law &amp; Life Essays in Honour of Justice MN Venkatachaliah</t>
        </is>
      </c>
      <c r="H145" s="6" t="inlineStr">
        <is>
          <t>A rich collection of essays by eminent personalities on Justice MN Venkatachaliah, the Judge, and the individual. Justice Manepali Narayanarao Venkatachaliah's diverse roles as a Judge in various courts, Chief Justice of India, Chairman of the National Human Rights Commission, Chairman of the Commission to Review the Working of the Constitution, and other positions are covered in the book.
Right from his days at the highest judiciary to his simple superannuated yet emeritus status, Justice Venkatachaliah has preached reforms for efficiency.
The topics include:
Human rights
Tax law
Public Policy
Alternative Dispute Resolution
Arbitration law, energy-related arbitration, and his pro-arbitration approach.
Other topics, like education and the selection of judges, are briefly touched upon. The contributors reflect on his journey from pre-Independent India to witnessing the nation's transformation.</t>
        </is>
      </c>
      <c r="I145" s="6" t="inlineStr">
        <is>
          <t>Bibek Debroy is the Chairman of the Economic Advisory Council to the Prime Minister, Government of India.
Sameer Kochhar, Chairman of SKOCH Group, is a reform historian and author of the best-seller ModiNomics. He is an expert on governance and inclusive growth.</t>
        </is>
      </c>
      <c r="J145" s="4" t="n">
        <v>1</v>
      </c>
      <c r="K145" s="4" t="inlineStr">
        <is>
          <t>English</t>
        </is>
      </c>
      <c r="L145" s="4" t="inlineStr">
        <is>
          <t>HB</t>
        </is>
      </c>
      <c r="M145" s="6" t="inlineStr">
        <is>
          <t>India</t>
        </is>
      </c>
      <c r="N145" s="20" t="n">
        <v>45161</v>
      </c>
      <c r="O145" s="4" t="n">
        <v>238</v>
      </c>
      <c r="P145" s="44" t="n">
        <v>795</v>
      </c>
      <c r="Q145" s="6" t="n">
        <v>24</v>
      </c>
      <c r="R145" s="6" t="n">
        <v>16</v>
      </c>
      <c r="S145" s="6" t="n">
        <v>2.5</v>
      </c>
      <c r="T145" s="6" t="n">
        <v>500</v>
      </c>
    </row>
    <row r="146" ht="20.1" customHeight="1">
      <c r="A146" s="6" t="n">
        <v>145</v>
      </c>
      <c r="B146" s="4" t="inlineStr">
        <is>
          <t>Academic</t>
        </is>
      </c>
      <c r="C146" s="4" t="inlineStr">
        <is>
          <t>Edge</t>
        </is>
      </c>
      <c r="D146" s="10" t="n">
        <v>9789391032517</v>
      </c>
      <c r="E146" s="10" t="n">
        <v>9391032516</v>
      </c>
      <c r="F146" s="5" t="inlineStr">
        <is>
          <t>Sagar Srivastava</t>
        </is>
      </c>
      <c r="G146" s="4" t="inlineStr">
        <is>
          <t>MPPSC Mains Examination Series General Studies Paper 2 Vol I</t>
        </is>
      </c>
      <c r="H146" s="6" t="inlineStr">
        <is>
          <t>MPPPSC General Studies Paper 2, Volume I is a comprehensive guidebook for aspirants of the MPPSC examination. It covers all the topics in Units 1 to 5 under Constitution, Governance, Political and Administrative Structure of MPPPSC General Studies Paper 2 as prescribed by the New MPPSC syllabus in a lucid manner with the help of diagrams and flowcharts. It also provides detailed insights on Constitution, Governance, Political and Administrative Structure; Accountability and Rights; Indian Political Thinkers; Administration and Management
Key features
Strictly mapped word by word according to the New Syllabus of MPPSC
Contains all the topics in Units 1 to 5 under Constitution, Governance, Political
and Administrative Structure of MPPPSC General Studies Paper 2
Contains Unique Charts and Diagrams, which will help aspirants in scoring better
Presents the content in a concise form ensuring that every statement in the book is meaningful and important
Provides Solved Previous Year Papers of MPPSC GS Paper 2.</t>
        </is>
      </c>
      <c r="I146" s="6" t="inlineStr">
        <is>
          <t>Sagar Srivastava is a Range Forest Officer with the Madhya Pradesh Government. Previously he has worked as Assistant System Engineer with Tata Consultancy Services (TCS) after completing his Bachelor of Engineering in Electronics and Communication. He has also been mentoring state services aspirants at various coaching institutes.</t>
        </is>
      </c>
      <c r="J146" s="4" t="n">
        <v>1</v>
      </c>
      <c r="K146" s="4" t="inlineStr">
        <is>
          <t>English</t>
        </is>
      </c>
      <c r="L146" s="4" t="inlineStr">
        <is>
          <t>PB</t>
        </is>
      </c>
      <c r="M146" s="6" t="inlineStr">
        <is>
          <t>India</t>
        </is>
      </c>
      <c r="N146" s="20" t="n">
        <v>45161</v>
      </c>
      <c r="O146" s="4" t="n">
        <v>506</v>
      </c>
      <c r="P146" s="44" t="n">
        <v>525</v>
      </c>
      <c r="Q146" s="6" t="n">
        <v>24</v>
      </c>
      <c r="R146" s="6" t="n">
        <v>18.5</v>
      </c>
      <c r="S146" s="6" t="n">
        <v>2.5</v>
      </c>
      <c r="T146" s="6" t="n">
        <v>450</v>
      </c>
    </row>
    <row r="147" ht="20.1" customHeight="1">
      <c r="A147" s="6" t="n">
        <v>146</v>
      </c>
      <c r="B147" s="4" t="inlineStr">
        <is>
          <t>Academic</t>
        </is>
      </c>
      <c r="C147" s="4" t="inlineStr">
        <is>
          <t>Edge</t>
        </is>
      </c>
      <c r="D147" s="10" t="n">
        <v>9789395764629</v>
      </c>
      <c r="E147" s="10" t="n">
        <v>9395764627</v>
      </c>
      <c r="F147" s="5" t="inlineStr">
        <is>
          <t>P Kumar</t>
        </is>
      </c>
      <c r="G147" s="4" t="inlineStr">
        <is>
          <t>Disaster Management</t>
        </is>
      </c>
      <c r="H147" s="6" t="inlineStr">
        <is>
          <t>Disaster Management has been written for providing insights on various types of disasters and the ways to manage them. It is useful for the aspirants of Civil Services and various State services Examinations. The book begins with an introduction to the subject of disasters and provides information on the different types of natural and man-made disasters. It also covers in detail the various approaches and aspects of disaster management, mitigation techniques, disaster preparedness, capacity building and the role of various stakeholders in disaster management. It also provides information on the various institutions and organisations involved in disaster management.
The book has 27 chapters, with each chapter covering the different aspects of disasters and their management. Flowcharts, maps, diagrams and tables have been used for better understanding.
Key Features -
Questions from previous years for the main exam
Multidisciplinary approach and linkage with Environment and Geography
Presentation of flowcharts, maps, diagrams, and tables
Covers international cooperation in disaster management.
Comprehensive coverage of natural and Man-made Disasters like Train Accidents and Disaster Response.</t>
        </is>
      </c>
      <c r="I147" s="6" t="inlineStr">
        <is>
          <t>P. Kumar is a core geographer. He completed his undergraduate, Master of Arts and Master of Philosophy degrees from the Department of Geography, Delhi School of Economics, University of Delhi. He teaches as an Assistant Professor (adhoc) at Swami Shraddhanand University, Delhi University. He has also been a visiting lecturer for Civil Services Academy at Pandit Deen Dayal Petroleum University, Gandhinagar, Sr. Lecturer at Srichaitanya Degree University, Hyderabad, and Lecturer in Geography at reputed coaching institutions.</t>
        </is>
      </c>
      <c r="J147" s="4" t="n">
        <v>2</v>
      </c>
      <c r="K147" s="4" t="inlineStr">
        <is>
          <t>English</t>
        </is>
      </c>
      <c r="L147" s="4" t="inlineStr">
        <is>
          <t>PB</t>
        </is>
      </c>
      <c r="M147" s="6" t="inlineStr">
        <is>
          <t>India</t>
        </is>
      </c>
      <c r="N147" s="20" t="n">
        <v>45161</v>
      </c>
      <c r="O147" s="4" t="n">
        <v>318</v>
      </c>
      <c r="P147" s="44" t="n">
        <v>350</v>
      </c>
      <c r="Q147" s="6" t="n">
        <v>24</v>
      </c>
      <c r="R147" s="6" t="n">
        <v>18.5</v>
      </c>
      <c r="S147" s="6" t="n">
        <v>2.5</v>
      </c>
      <c r="T147" s="6" t="n">
        <v>400</v>
      </c>
    </row>
    <row r="148" ht="20.1" customHeight="1">
      <c r="A148" s="6" t="n">
        <v>147</v>
      </c>
      <c r="B148" s="4" t="inlineStr">
        <is>
          <t>Academic</t>
        </is>
      </c>
      <c r="C148" s="4" t="inlineStr">
        <is>
          <t>Edge</t>
        </is>
      </c>
      <c r="D148" s="10" t="n">
        <v>9789395764612</v>
      </c>
      <c r="E148" s="10" t="n">
        <v>9395764619</v>
      </c>
      <c r="F148" s="5" t="inlineStr">
        <is>
          <t>Sudhanshu Kumar</t>
        </is>
      </c>
      <c r="G148" s="4" t="inlineStr">
        <is>
          <t xml:space="preserve">CSAT: Practice Papers </t>
        </is>
      </c>
      <c r="H148" s="6" t="inlineStr">
        <is>
          <t>CSAT Previous Years' Solved &amp; Practice Papers is a book written for the aspirants of Civil Services Examination. It will also help aspirants in various state services examinations.
The book contains solved practice papers and previous years’ UPSC questions on CSAT. It has been designed in a new learning style and special care has been taken to provide clarity on the concepts relating to complex questions. The book is the outcome of classroom experience of the author, and it seeks to educate the readers about various aspects of the subject in a simple and lucid manner. A unique feature of time-bound Live Online test has been provided for the aspirants.
The book will act as a comprehensive practice workbook for the aspirants, as it includes questions based on the latest pattern of CSAT.
Key Features -
Comprises of 8 practice sets of CSAT with solutions.
Includes solutions to the previous years’ UPSC questions on CSAT from the year 2011 to 2023
Incorporates access to time-bound Live Online test for the purpose of self-assessment.
Explains smart techniques for solving complex questions.</t>
        </is>
      </c>
      <c r="I148" s="6" t="inlineStr">
        <is>
          <t>Sudhanshu Kumar is associated with several premier Civil Services coaching institutes in Delhi, Bhubaneshwar, Bengaluru, and Patna. He holds Graduate and Post Graduate degrees in Computer Science from Delhi. He has been guiding aspirants of Civil Services examination for over a decade.</t>
        </is>
      </c>
      <c r="J148" s="4" t="n">
        <v>3</v>
      </c>
      <c r="K148" s="4" t="inlineStr">
        <is>
          <t>English</t>
        </is>
      </c>
      <c r="L148" s="4" t="inlineStr">
        <is>
          <t>PB</t>
        </is>
      </c>
      <c r="M148" s="6" t="inlineStr">
        <is>
          <t>India</t>
        </is>
      </c>
      <c r="N148" s="20" t="n">
        <v>45253</v>
      </c>
      <c r="O148" s="4" t="n">
        <v>454</v>
      </c>
      <c r="P148" s="44" t="n">
        <v>495</v>
      </c>
      <c r="Q148" s="6" t="n">
        <v>24</v>
      </c>
      <c r="R148" s="6" t="n">
        <v>18.5</v>
      </c>
      <c r="S148" s="6" t="n">
        <v>2.5</v>
      </c>
      <c r="T148" s="6" t="n">
        <v>600</v>
      </c>
    </row>
    <row r="149" ht="20.1" customHeight="1">
      <c r="A149" s="6" t="n">
        <v>148</v>
      </c>
      <c r="B149" s="4" t="inlineStr">
        <is>
          <t>BGR</t>
        </is>
      </c>
      <c r="C149" s="4" t="inlineStr">
        <is>
          <t>Cursive</t>
        </is>
      </c>
      <c r="D149" s="10" t="n">
        <v>9788269286601</v>
      </c>
      <c r="E149" s="10" t="n">
        <v>8269286605</v>
      </c>
      <c r="F149" s="5" t="inlineStr">
        <is>
          <t>Sarita Salwan</t>
        </is>
      </c>
      <c r="G149" s="4" t="inlineStr">
        <is>
          <t>The Good Divorce It’s Not What You Think A Memoir</t>
        </is>
      </c>
      <c r="H149" s="6" t="inlineStr">
        <is>
          <t>If she wasn't beaten up, her partner was not lying or cheating, why does a woman want divorce?
For more than a decade, Sarita Salwan häs stayed loyal to her clients, committed to finding the quickest and most relevant solution whenever they need. For more than a decade, Sarita has also stayed committed to her family, ensuring her daughter has a room of her own, and the best of opportunities. That's Sarita, a 43-year-old divorced woman, who decided to separate from her partner after almost 10 years of being married. So,
'Does she live alone now?'
'Her husband did not pay alimony?'
'Who pays all the bills?'
In this atypical memoir, Sarita Salwan, travel agent-cum-DJ, born and brought up in India and Norway, will tell you not what led to the divorce but how she came of age. From a 23-year-old Bollywood loving Punjabi girl who believed that taking off her red bangles or choora before a year of marriage was a sign of bad luck, to the woman who believes if nothing works out, divorce should be seen as an option.
Although she is not a cold-hearted person, she certainly feels good about doing things her way, and doesn't feel guilty afterwards.</t>
        </is>
      </c>
      <c r="I149" s="6" t="inlineStr">
        <is>
          <t>Sarita Salwan author spent her schooling years in Dalhousie and pursued her MA in Human Resources and Marketing from a private management institute in Delhi. Sarita has successfully organised events, and introduced well-known Indian stand-up comedians, including Amit Tandon, to Oslo’s audiences.She loves learning tarot, sipping chai with her teenage daughter and gossiping, just a bit. The Good Divorce: It’s Not What you Think is her debut book.
Connect with the author on Instagram: @sarita__salwan</t>
        </is>
      </c>
      <c r="J149" s="4" t="n">
        <v>1</v>
      </c>
      <c r="K149" s="4" t="inlineStr">
        <is>
          <t>English</t>
        </is>
      </c>
      <c r="L149" s="4" t="inlineStr">
        <is>
          <t>PB</t>
        </is>
      </c>
      <c r="M149" s="6" t="inlineStr">
        <is>
          <t>India</t>
        </is>
      </c>
      <c r="N149" s="20" t="n">
        <v>45161</v>
      </c>
      <c r="O149" s="4" t="n">
        <v>141</v>
      </c>
      <c r="P149" s="44" t="n">
        <v>299</v>
      </c>
      <c r="Q149" s="6" t="n">
        <v>21.5</v>
      </c>
      <c r="R149" s="6" t="n">
        <v>14</v>
      </c>
      <c r="S149" s="6" t="n">
        <v>2.5</v>
      </c>
      <c r="T149" s="6" t="n">
        <v>350</v>
      </c>
    </row>
    <row r="150" ht="20.1" customHeight="1">
      <c r="A150" s="6" t="n">
        <v>149</v>
      </c>
      <c r="B150" s="4" t="inlineStr">
        <is>
          <t>Academic</t>
        </is>
      </c>
      <c r="C150" s="4" t="inlineStr">
        <is>
          <t>Edge</t>
        </is>
      </c>
      <c r="D150" s="10" t="n">
        <v>9789395764292</v>
      </c>
      <c r="E150" s="10" t="n">
        <v>9395764295</v>
      </c>
      <c r="F150" s="5" t="inlineStr">
        <is>
          <t>Nirbhay Sharma</t>
        </is>
      </c>
      <c r="G150" s="4" t="inlineStr">
        <is>
          <t>Indian Polity &amp; Governance (Updated Edition)</t>
        </is>
      </c>
      <c r="H150" s="6" t="inlineStr">
        <is>
          <t>Indian Polity and Governance is a significant book written specifically for Civil Services aspirants. This brilliantly researched and exceptionally detailed book will also be critical while preparing for various state services examinations. The content, form and structure of the book has been designed in a manner that it can even help students preparing for optional subjects like Law, Political Science and Public Administration, while being of equal significance and relevance to those preparing for Judiciary, CLAT and other Law Entrance Tests. Starting from the history of evolution of the Indian Constitution, the book delves deep into the salient features of the Constitution, the different organs of the government and their respective role in India’s political system, and the functions of constitutional and non-constitutional bodies among others.
Key Features -
Provides strategy to study and prepare the Indian Polity for UPSC.
Provides tables of important articles, schedules, and amendments in the Indian Constitution.
Features solved papers of UPSC Prelims from the year 2011 to 202 &amp; Indian Polity asked in papers of UPSC Mains examination from the year 2013 to 2023.
Embedded with smart code for online support
Provides 10 online mock-tests for self-assessment.</t>
        </is>
      </c>
      <c r="I150" s="6" t="inlineStr">
        <is>
          <t>Nirbhay Sharma is an established advocate of the Supreme Court. After pursuing LLB from Campus Law Centre, University of Delhi, he completed his Master in Business Laws from NLSIU, Bangalore and LLM from Kurukshetra University. He underwent a General Course in Intellectual Property conducted bya the World Intellectual Property Organisation, Geneva. He has been passionately guiding aspirants of Civil Services as well as Judicial Services examinations for the past 15 years.</t>
        </is>
      </c>
      <c r="J150" s="4" t="n">
        <v>1</v>
      </c>
      <c r="K150" s="4" t="inlineStr">
        <is>
          <t>English</t>
        </is>
      </c>
      <c r="L150" s="4" t="inlineStr">
        <is>
          <t>PB</t>
        </is>
      </c>
      <c r="M150" s="6" t="inlineStr">
        <is>
          <t>India</t>
        </is>
      </c>
      <c r="N150" s="20" t="n">
        <v>45253</v>
      </c>
      <c r="O150" s="4" t="n">
        <v>816</v>
      </c>
      <c r="P150" s="44" t="n">
        <v>795</v>
      </c>
      <c r="Q150" s="6" t="n">
        <v>24</v>
      </c>
      <c r="R150" s="6" t="n">
        <v>18.5</v>
      </c>
      <c r="S150" s="6" t="n">
        <v>2.5</v>
      </c>
      <c r="T150" s="6" t="n">
        <v>800</v>
      </c>
    </row>
    <row r="151" ht="20.1" customHeight="1">
      <c r="A151" s="6" t="n">
        <v>150</v>
      </c>
      <c r="B151" s="4" t="inlineStr">
        <is>
          <t>Tax</t>
        </is>
      </c>
      <c r="C151" s="4" t="inlineStr">
        <is>
          <t>OakBridge</t>
        </is>
      </c>
      <c r="D151" s="10" t="n">
        <v>9789395764537</v>
      </c>
      <c r="E151" s="10" t="n">
        <v>9395764538</v>
      </c>
      <c r="F151" s="5" t="inlineStr">
        <is>
          <t>Ramakrishnan Viraraghavan</t>
        </is>
      </c>
      <c r="G151" s="4" t="inlineStr">
        <is>
          <t>The Law of Goods and Services Tax A Comprehensive Commentary</t>
        </is>
      </c>
      <c r="H151" s="6" t="inlineStr">
        <is>
          <t>A detailed section-wise internet age commentary on the CGST Act, IGST Act and GST (Compensation to States) Act.
First commentary on GST written by a Senior Advocate practising at the Supreme Court distilling his vast experience of nearly four decades of litigation practice.
Designed to give quick answers to busy GST adjudicators and GST practitioners without wading through judgements and circulars.
A focused and penetrative commentary based on judgements of the courts and rulings of advance ruling authorities. The relevant pages and paragraphs of the relevant judgements and circulars are referred only in the footnotes.
Vexed issues of classification are dealt in a separate chapter with goods and services arranged alphabetically under their common names. The commentary guides the reader on issues not yet decided by the Supreme Court or the High Courts.
The book incorporates the amendments made by the Finance Act, 2023, the CGST (Amendment) Act, 2023 and the IGST (Amendment) Act 2023. Taxation of supplies in casinos, racecourses and online gaming has been addressed in a separate chapter. Relevant decisions reported in GSTR up to 31 July 2023 have been added in the book.</t>
        </is>
      </c>
      <c r="I151" s="6" t="inlineStr">
        <is>
          <t>Ramakrishnan Viraraghavan is a Barrister and Senior Advocate based in New Delhi, practising at the Supreme Court of India. He is a tenant in Chambers at 33 Bedford Row and has rights of audience before the Royal Courts of Justice in England and Wales. He carries nearly four decades of experience in taxation and commercial litigation. He has appeared before almost every tier of taxation authorities from the Commissioner to the Supreme Court of India, at various stages of his career.</t>
        </is>
      </c>
      <c r="J151" s="4" t="n">
        <v>1</v>
      </c>
      <c r="K151" s="4" t="inlineStr">
        <is>
          <t>English</t>
        </is>
      </c>
      <c r="L151" s="4" t="inlineStr">
        <is>
          <t>HB</t>
        </is>
      </c>
      <c r="M151" s="6" t="inlineStr">
        <is>
          <t>India</t>
        </is>
      </c>
      <c r="N151" s="20" t="n">
        <v>45192</v>
      </c>
      <c r="O151" s="4" t="n">
        <v>972</v>
      </c>
      <c r="P151" s="44" t="n">
        <v>2100</v>
      </c>
      <c r="Q151" s="6" t="n">
        <v>24</v>
      </c>
      <c r="R151" s="6" t="n">
        <v>16</v>
      </c>
      <c r="S151" s="6" t="n">
        <v>2.5</v>
      </c>
      <c r="T151" s="6" t="n">
        <v>1400</v>
      </c>
    </row>
    <row r="152" ht="20.1" customHeight="1">
      <c r="A152" s="6" t="n">
        <v>151</v>
      </c>
      <c r="B152" s="4" t="inlineStr">
        <is>
          <t>Tax</t>
        </is>
      </c>
      <c r="C152" s="4" t="inlineStr">
        <is>
          <t>OakBridge</t>
        </is>
      </c>
      <c r="D152" s="10" t="n">
        <v>9789395764841</v>
      </c>
      <c r="E152" s="10" t="n">
        <v>9395764848</v>
      </c>
      <c r="F152" s="5" t="inlineStr">
        <is>
          <t>Pratap Singh, IRS</t>
        </is>
      </c>
      <c r="G152" s="4" t="inlineStr">
        <is>
          <t>Reforms in Tax Administration An Indian Experience</t>
        </is>
      </c>
      <c r="H152" s="6" t="inlineStr">
        <is>
          <t>The book is the result of five years of extensive research, aiming to analyse India's tax system and its administration. The focus is on evaluating tax reforms, particularly those of the last 30 years, and their effects on tax collection, the Tax-GDP ratio, the tax base, and the overall economy. The study explores the relationship between tax and GDP growth, scrutinises the impact of significant 1991 tax reforms on subsequent tax collection, and compares India's tax-GDP ratio with other nations.
Additionally, it investigates the aftermath of the 2008 global economic crisis on taxes, discusses anti-tax evasion measures, and introduces the Tax Administration Diagnostic Assessment Tool Model (TADAT) for assessing tax administration efficiency. The book offers recommendations for improving tax administration and highlights the delayed effects of the 1991 reforms on tax collection and the impact of the 2008 slowdown. It is a valuable resource for researchers, tax professionals, administrators, and economics students.</t>
        </is>
      </c>
      <c r="I152" s="6" t="inlineStr">
        <is>
          <t>Pratap Singh, is an IRS officer, having rich experience in tax policy formulation and administration of over last 30 years. He has handled various important assignments in the Government all over the country. He has written two research papers besides chairing some committees and authoring several reports. Several amendments in the Income Tax Act 1961 were carried out on the basis of notes submitted by him. He writes regular columns in Taxindiaonline and other important magazines. The author holds M.Tech from IIT Kanpur and PhD in Economics from Mysore University, besides holding LLB and MBA (PGDM), where he topped the university.</t>
        </is>
      </c>
      <c r="J152" s="4" t="n">
        <v>1</v>
      </c>
      <c r="K152" s="4" t="inlineStr">
        <is>
          <t>English</t>
        </is>
      </c>
      <c r="L152" s="4" t="inlineStr">
        <is>
          <t>PB</t>
        </is>
      </c>
      <c r="M152" s="6" t="inlineStr">
        <is>
          <t>India</t>
        </is>
      </c>
      <c r="N152" s="20" t="n">
        <v>45192</v>
      </c>
      <c r="O152" s="4" t="n">
        <v>264</v>
      </c>
      <c r="P152" s="44" t="n">
        <v>595</v>
      </c>
      <c r="Q152" s="6" t="n">
        <v>21.5</v>
      </c>
      <c r="R152" s="6" t="n">
        <v>14</v>
      </c>
      <c r="S152" s="6" t="n">
        <v>2.5</v>
      </c>
      <c r="T152" s="6" t="n">
        <v>600</v>
      </c>
    </row>
    <row r="153" ht="20.1" customHeight="1">
      <c r="A153" s="6" t="n">
        <v>152</v>
      </c>
      <c r="B153" s="4" t="inlineStr">
        <is>
          <t>Tax</t>
        </is>
      </c>
      <c r="C153" s="4" t="inlineStr">
        <is>
          <t>OakBridge</t>
        </is>
      </c>
      <c r="D153" s="10" t="n">
        <v>9789395764605</v>
      </c>
      <c r="E153" s="10" t="n">
        <v>9395764600</v>
      </c>
      <c r="F153" s="5" t="inlineStr">
        <is>
          <t>Rav Pratap Singh</t>
        </is>
      </c>
      <c r="G153" s="4" t="inlineStr">
        <is>
          <t>Reform &amp; Deform A Five-Side Critique of GST</t>
        </is>
      </c>
      <c r="H153" s="6" t="inlineStr">
        <is>
          <t>Reform and Deform: A Five-Side Critique of GST takes stock of the initial five and a half years of GST since its implementation in July 2017.
This book focuses on five separate but inter-related aspects of GST: concept of supply, claims of input tax credit (‘ITC’), jurisprudence on arrests and attachment, dysfunctional dispute resolution framework and sub-par advance ruling mechanism, and a dedicated chapter containing detailed critique of the GST’s anti-profiteering mechanism.
All five aspects are examined to underline the central argument made in the book, i.e., GST is a reform is increasingly being deformed due to poorly reasoned judicial opinions, sub-par advance rulings and uncertainty produced by reactive and ad hoc executive responses.
Reform and Deform is a trailblazer as it presents a structured analysis of GST by deploying a jargon-free and straightforward vocabulary. It examines several legal developments in detail, places them in proper historical context and views GST not as an end in itself but a milestone in India’s continuing journey towards an improved indirect tax regime.</t>
        </is>
      </c>
      <c r="I153" s="6" t="inlineStr">
        <is>
          <t>Rav Pratap Singh is an Associate Professor of Legal Practice at OP Jindal Global University, Sonipat. He is a generalist economic lawyer with a variety of specialist interests. He has active interests in Goods and Services Tax, Corporate Tax, Tax and Financial Dimensions of the Constitution. He also provides consultancy to select clients on non-litigation issues concerning tax matters, economic laws, and succession planning.</t>
        </is>
      </c>
      <c r="J153" s="4" t="n">
        <v>1</v>
      </c>
      <c r="K153" s="4" t="inlineStr">
        <is>
          <t>English</t>
        </is>
      </c>
      <c r="L153" s="4" t="inlineStr">
        <is>
          <t>PB</t>
        </is>
      </c>
      <c r="M153" s="6" t="inlineStr">
        <is>
          <t>India</t>
        </is>
      </c>
      <c r="N153" s="20" t="n">
        <v>45192</v>
      </c>
      <c r="O153" s="4" t="n">
        <v>410</v>
      </c>
      <c r="P153" s="44" t="n">
        <v>695</v>
      </c>
      <c r="Q153" s="6" t="n">
        <v>21.5</v>
      </c>
      <c r="R153" s="6" t="n">
        <v>14</v>
      </c>
      <c r="S153" s="6" t="n">
        <v>2.5</v>
      </c>
      <c r="T153" s="6" t="n">
        <v>500</v>
      </c>
    </row>
    <row r="154" ht="20.1" customHeight="1">
      <c r="A154" s="6" t="n">
        <v>153</v>
      </c>
      <c r="B154" s="4" t="inlineStr">
        <is>
          <t>Tax</t>
        </is>
      </c>
      <c r="C154" s="4" t="inlineStr">
        <is>
          <t>OakBridge</t>
        </is>
      </c>
      <c r="D154" s="10" t="n">
        <v>9789395764551</v>
      </c>
      <c r="E154" s="10" t="n">
        <v>9395764554</v>
      </c>
      <c r="F154" s="5" t="inlineStr">
        <is>
          <t>TG Suresh</t>
        </is>
      </c>
      <c r="G154" s="4" t="inlineStr">
        <is>
          <t>Capital Gains Tax Law and Practice</t>
        </is>
      </c>
      <c r="H154" s="6" t="inlineStr">
        <is>
          <t>Capital Gains Tax – Law and Practice comprehensively covers legal and practical aspects governing the taxation of short-term and long-term capital gains as provided under Chapter IV(E) of the Income-Tax Act, 1961. The sixth edition has been thoroughly revised and updated in view of amendments brought in by the Finance Act,2023.
Key Features -
Written in a simple and lucid language.
Practical scenarios and illustrations discussed for better understanding.
Judicial pronouncements have been examined and mentioned as appropriate.
Incorporates all relevant Notifications, Circulars and Schemes up to 30th June 2023
All relevant circulars and notifications have been reproduced under the appendices.
Detailed analysis of capital gains relating to shares, securities, and Business Restructuring transactions.
Provisions relating to Real estate transactions (including JDA) are covered extensively.
Apex Court decisions/interpretations are appropriately highlighted and considered.
Provisions relating to international transactions and Non-residents are covered comprehensively.
Appropriate suggestions provided on Controversial provisions to reduce/avoid litigation.</t>
        </is>
      </c>
      <c r="I154" s="6" t="inlineStr">
        <is>
          <t>T G Suresh, Senior Partner of Suresh &amp; Balaji, Chartered Accountants, has over 34 years of experience in direct tax, international tax, and foreign exchange laws. He is a faculty member at Maruti Coaching in Chennai and a visiting faculty member at professional organizations like ICAI, ICSI, and ICMAI. Suresh is also the Chairman of the International Fiscal Association – Southern Regional Chapter and the Direct Tax Task Force of the South Indian Chamber of Commerce and Industry.</t>
        </is>
      </c>
      <c r="J154" s="4" t="n">
        <v>6</v>
      </c>
      <c r="K154" s="4" t="inlineStr">
        <is>
          <t>English</t>
        </is>
      </c>
      <c r="L154" s="4" t="inlineStr">
        <is>
          <t>PB</t>
        </is>
      </c>
      <c r="M154" s="6" t="inlineStr">
        <is>
          <t>India</t>
        </is>
      </c>
      <c r="N154" s="20" t="n">
        <v>45222</v>
      </c>
      <c r="O154" s="4" t="n">
        <v>532</v>
      </c>
      <c r="P154" s="44" t="n">
        <v>895</v>
      </c>
      <c r="Q154" s="6" t="n">
        <v>24</v>
      </c>
      <c r="R154" s="6" t="n">
        <v>16</v>
      </c>
      <c r="S154" s="6" t="n">
        <v>2.5</v>
      </c>
      <c r="T154" s="6" t="n">
        <v>800</v>
      </c>
    </row>
    <row r="155" ht="20.1" customHeight="1">
      <c r="A155" s="6" t="n">
        <v>154</v>
      </c>
      <c r="B155" s="4" t="inlineStr">
        <is>
          <t>Law</t>
        </is>
      </c>
      <c r="C155" s="4" t="inlineStr">
        <is>
          <t>OakBridge</t>
        </is>
      </c>
      <c r="D155" s="10" t="n">
        <v>9789395764681</v>
      </c>
      <c r="E155" s="10" t="n">
        <v>9395764686</v>
      </c>
      <c r="F155" s="5" t="inlineStr">
        <is>
          <t>Nomesh Bhojkumar Bolia and Surya Prakash BS</t>
        </is>
      </c>
      <c r="G155" s="4" t="inlineStr">
        <is>
          <t>Technology and Analytics for Law &amp; Justice</t>
        </is>
      </c>
      <c r="H155" s="6" t="inlineStr">
        <is>
          <t>This unique volume from the DAKSH Centre of Excellence for Law and Technology examines the evolution of technology in the law and justice system in India. It delves into the challenges and opportunities presented by technology, current thinking on the subject, and what the future may hold for this rapidly developing field. From tracing the historical journey of law and technology in India to the rise of 'justicemakers,' the impact of cutting-edge forensic technology, the world of smart contracts, and the realm of surveillance, this book offers a comprehensive and thought-provoking look at the ever-changing landscape of law and technology. This book will be of interest to a wide audience, including researchers, policymakers, government agencies, technologists, law firms, legal practitioners, academics, and students looking for a head-start in the world of transforming law and justice systems.</t>
        </is>
      </c>
      <c r="I155" s="6" t="inlineStr">
        <is>
          <t>The DAKSH Centre of Excellence for Law and Technology at IIT Delhi conducts interdisciplinary research to explore and understand various aspects of the justice system. It brings together lawyers, researchers, scientists and policy analysts to build solutions for the biggest challenges facing the justice system, drawing from fields such as operations research, data analytics, technology and law. As an interdisciplinary centre harnessing the strengths and experience of IIT Delhi and DAKSH, the DAKSH Centre of Excellence for Law and Technology leverages rigorous research to produce a real-world impact on the functioning of the justice system.</t>
        </is>
      </c>
      <c r="J155" s="4" t="n">
        <v>1</v>
      </c>
      <c r="K155" s="4" t="inlineStr">
        <is>
          <t>English</t>
        </is>
      </c>
      <c r="L155" s="4" t="inlineStr">
        <is>
          <t>PB</t>
        </is>
      </c>
      <c r="M155" s="6" t="inlineStr">
        <is>
          <t>India</t>
        </is>
      </c>
      <c r="N155" s="20" t="n">
        <v>45222</v>
      </c>
      <c r="O155" s="4" t="n">
        <v>516</v>
      </c>
      <c r="P155" s="44" t="n">
        <v>995</v>
      </c>
      <c r="Q155" s="6" t="n">
        <v>24</v>
      </c>
      <c r="R155" s="6" t="n">
        <v>16</v>
      </c>
      <c r="S155" s="6" t="n">
        <v>2.5</v>
      </c>
      <c r="T155" s="6" t="n">
        <v>800</v>
      </c>
    </row>
    <row r="156" ht="20.1" customHeight="1">
      <c r="A156" s="6" t="n">
        <v>155</v>
      </c>
      <c r="B156" s="4" t="inlineStr">
        <is>
          <t>Academic</t>
        </is>
      </c>
      <c r="C156" s="4" t="inlineStr">
        <is>
          <t>OakBridge</t>
        </is>
      </c>
      <c r="D156" s="10" t="n">
        <v>9789395764643</v>
      </c>
      <c r="E156" s="10" t="n">
        <v>9395764643</v>
      </c>
      <c r="F156" s="5" t="inlineStr">
        <is>
          <t>Shabbir A Bashir and Deb Tripathi</t>
        </is>
      </c>
      <c r="G156" s="4" t="inlineStr">
        <is>
          <t>The Definitive Guide to UPSC Success: Crafting Your IAS Journey</t>
        </is>
      </c>
      <c r="H156" s="6" t="inlineStr">
        <is>
          <t>Cracking UPSC, the mother of all exams, requires more than just knowledge; it demands a transformation of mindset, vision for success, and an unwavering commitment to nation-building.
‘The Definitive Guide to UPSC Success Crafting Your IAS Journey,' goes beyond conventional study techniques, delving into the realms of mindset and personality development. It is not merely a study guide; it is a holistic approach to navigating the challenges of one of the most rigorous examinations.
‘The Definitive Guide to UPSC Success Crafting Your IAS Journey' is your companion in this transformative journey. Let the wisdom within the pages guide you toward not just passing an exam, but upgrading yourself to a new version, shaping your future.</t>
        </is>
      </c>
      <c r="I156" s="6" t="inlineStr">
        <is>
          <t>Shabbir A Bashir, a renowned UPSC preparation trainer with over 21 years of experience, has a deep understanding of geography and environment. He co-founded Edukemy to make teaching and learning more engaging and effective, aiming to democratize education and reach all, regardless of location or socioeconomic status. Bashir holds a Civil Engineering degree and is certified in management and leadership skills by INSEAD (ILPSE).
Deb Tripathi is an innovative technology leader with over 24-years of expertise in Technology Architecture, Digital Transformation, Software Engineering, and Automation. He has led complex digital transformations for Fortune 500 companies globally and holds two US patents in integration and automation. He holds exceptional leadership experience and has been associated with Accenture as the Managing Director. He co-founded Edukemy to improve education quality and provide meaningful learning experiences to students across India.</t>
        </is>
      </c>
      <c r="J156" s="4" t="n">
        <v>1</v>
      </c>
      <c r="K156" s="4" t="inlineStr">
        <is>
          <t>English</t>
        </is>
      </c>
      <c r="L156" s="4" t="inlineStr">
        <is>
          <t>PB</t>
        </is>
      </c>
      <c r="M156" s="6" t="inlineStr">
        <is>
          <t>India</t>
        </is>
      </c>
      <c r="N156" s="20" t="n">
        <v>45283</v>
      </c>
      <c r="O156" s="4" t="n">
        <v>300</v>
      </c>
      <c r="P156" s="44" t="n">
        <v>595</v>
      </c>
      <c r="Q156" s="6" t="n">
        <v>21.5</v>
      </c>
      <c r="R156" s="6" t="n">
        <v>14</v>
      </c>
      <c r="S156" s="6" t="n">
        <v>2.5</v>
      </c>
      <c r="T156" s="6" t="n">
        <v>500</v>
      </c>
    </row>
    <row r="157" ht="20.1" customHeight="1">
      <c r="A157" s="6" t="n">
        <v>156</v>
      </c>
      <c r="B157" s="4" t="inlineStr">
        <is>
          <t>Law</t>
        </is>
      </c>
      <c r="C157" s="4" t="inlineStr">
        <is>
          <t>OakBridge</t>
        </is>
      </c>
      <c r="D157" s="10" t="n">
        <v>9789395764919</v>
      </c>
      <c r="E157" s="10" t="n">
        <v>9395764910</v>
      </c>
      <c r="F157" s="5" t="inlineStr">
        <is>
          <t>M Sricharan Rangarajan</t>
        </is>
      </c>
      <c r="G157" s="4" t="inlineStr">
        <is>
          <t>Treatise on Arbitration Law &amp; Practice – A Critical Commentary on Part I of the Act of 1996 (2 Vol. Set)</t>
        </is>
      </c>
      <c r="H157" s="6" t="inlineStr">
        <is>
          <t>A section-wise practical commentary on Part I of the Arbitration and Conciliation Act, 1996 with relevant case laws.
Traces the History of the Arbitration Act, covers UNCITRAL Model Laws and Law Commission reports.
Provides insights into the current legal framework, addresses challenges in arbitration, suggests amendments to enhance its efficacy in resolving commercial disputes.
A practitioner's perspective, maintaining clarity in legal interpretation and expressing ideas in accessible language.
An invaluable guide for arbitrators, practitioners, and aspiring law students interested and specialising in arbitration law and practice.</t>
        </is>
      </c>
      <c r="I157" s="6" t="inlineStr">
        <is>
          <t>Mr M Sricharan Rangarajan is a Senior Advocate of Madras High Court. With over 17 years of experience in the Bar, he has appeared in full-bench matters and has also been appointed as amicus curiae to assist the court in matters of importance, covering diverse subjects. He has acted as an Arbitrator in both domestic and international arbitrations. He was appointed as an Additional Advocate General for the State of Tamil Nadu where he handled matters in relation to Arbitration extensively, on behalf of the State.</t>
        </is>
      </c>
      <c r="J157" s="4" t="n">
        <v>1</v>
      </c>
      <c r="K157" s="4" t="inlineStr">
        <is>
          <t>English</t>
        </is>
      </c>
      <c r="L157" s="4" t="inlineStr">
        <is>
          <t>HB</t>
        </is>
      </c>
      <c r="M157" s="6" t="inlineStr">
        <is>
          <t>India</t>
        </is>
      </c>
      <c r="N157" s="20" t="n">
        <v>45283</v>
      </c>
      <c r="O157" s="4" t="n">
        <v>2644</v>
      </c>
      <c r="P157" s="44" t="n">
        <v>4995</v>
      </c>
      <c r="Q157" s="6" t="n">
        <v>24</v>
      </c>
      <c r="R157" s="6" t="n">
        <v>16</v>
      </c>
      <c r="S157" s="6" t="n">
        <v>2.5</v>
      </c>
      <c r="T157" s="6" t="n">
        <v>3000</v>
      </c>
    </row>
    <row r="158" ht="20.1" customHeight="1">
      <c r="A158" s="6" t="n">
        <v>157</v>
      </c>
      <c r="B158" s="4" t="inlineStr">
        <is>
          <t>Tax</t>
        </is>
      </c>
      <c r="C158" s="4" t="inlineStr">
        <is>
          <t>OakBridge</t>
        </is>
      </c>
      <c r="D158" s="10" t="inlineStr">
        <is>
          <t xml:space="preserve"> 9789395764995</t>
        </is>
      </c>
      <c r="E158" s="10" t="n">
        <v>9395764996</v>
      </c>
      <c r="F158" s="5" t="inlineStr">
        <is>
          <t>Parthasarathi Shome</t>
        </is>
      </c>
      <c r="G158" s="4" t="inlineStr">
        <is>
          <t>New Range &amp; Orthodox Concerns in International Taxation</t>
        </is>
      </c>
      <c r="H158" s="6" t="inlineStr">
        <is>
          <t>New Range &amp; Orthodox Concerns in International Taxation covers emerging issues in the various branches of international taxation, advancing International Tax Research and Analysis Foundation’s (ITRAF’s) tradition of bringing together a new range as well as orthodox concerns and presenting them to the expert.
The new range of issues includes the profound ramifications of a steady and speeding emergence of robots, the emerging new international rules for taxing carbon emissions to buttress a green transition, the conversion of the extortion of resources to a new tax collected at checkpoints in Afghanistan, and the dilemma of providing too little or too much tax incentives to attract international professional experts in Sweden. Traditional concerns such as tax avoidance, transparency, and ethics in tax planning are explored, along with issues related to Base Erosion and Profit Shifting (BEPS).
The volume contains a comprehensive foreword and the history of national tax systems in a globalised world. Overall, the collection provides a contemporary overview of international tax issues, making it a valuable resource for specialists in the field.</t>
        </is>
      </c>
      <c r="I158" s="6" t="inlineStr">
        <is>
          <t>Parthasarathi Shome is Founder Chairman, ITRAF, Bengaluru, and Eminent Persons Council, Tax Notes International. He was Adviser (Minister of State) to the Indian Finance Minister, and chaired India’s Tax Administration Reform Commission (TARC). He has held various positions, including Chief Economist, UK Revenue and Customs; Chief of Tax Policy, IMF; and Professor, American University, Washington DC. His work on GAAR and retrospective taxation is widely cited. He is a recipient of Brazil’s highest civilian honour, Commander of the Order of the Southern Cross, for his contributions to Brazilian fiscal reform. He is widely published in international peer reviewed journals and books and is invited to speak across the globe.</t>
        </is>
      </c>
      <c r="J158" s="4" t="n">
        <v>1</v>
      </c>
      <c r="K158" s="4" t="inlineStr">
        <is>
          <t>English</t>
        </is>
      </c>
      <c r="L158" s="4" t="inlineStr">
        <is>
          <t>HB</t>
        </is>
      </c>
      <c r="M158" s="6" t="inlineStr">
        <is>
          <t>India</t>
        </is>
      </c>
      <c r="N158" s="20" t="n">
        <v>45292</v>
      </c>
      <c r="O158" s="4" t="n">
        <v>320</v>
      </c>
      <c r="P158" s="44" t="n">
        <v>1250</v>
      </c>
      <c r="Q158" s="6" t="n">
        <v>24</v>
      </c>
      <c r="R158" s="6" t="n">
        <v>16</v>
      </c>
      <c r="S158" s="6" t="n">
        <v>2.5</v>
      </c>
      <c r="T158" s="6" t="n">
        <v>700</v>
      </c>
    </row>
    <row r="159" ht="20.1" customHeight="1">
      <c r="A159" s="6" t="n">
        <v>158</v>
      </c>
      <c r="B159" s="4" t="inlineStr">
        <is>
          <t>Academic</t>
        </is>
      </c>
      <c r="C159" s="4" t="inlineStr">
        <is>
          <t>Edge</t>
        </is>
      </c>
      <c r="D159" s="10" t="inlineStr">
        <is>
          <t xml:space="preserve"> 9789395764650</t>
        </is>
      </c>
      <c r="E159" s="10" t="n">
        <v>9395764651</v>
      </c>
      <c r="F159" s="5" t="inlineStr">
        <is>
          <t xml:space="preserve">Kamna Singh &amp; Vaibhav Kumar </t>
        </is>
      </c>
      <c r="G159" s="4" t="inlineStr">
        <is>
          <t>Samanya Adhyayan Paper 5 | सामान्य अध्ययन पेपर - 5</t>
        </is>
      </c>
      <c r="H159" s="6" t="inlineStr">
        <is>
          <t>सामान्य अध्ययन पेपर-5, उत्तर प्रदेश लोक सेवा आयोग (UPPSC) द्वारा आयोजित सम्मिलित अधीनस्थ सेवा [Combined State/Upper Subordinate (Mains)] के नवीन पाठ्यक्रम पर आधारित लिखी गयी पुस्तक है।
प्रमुख विशेषताएँ -
UPPSC द्वारा जारी नवीन पाठ्यक्रम पर आधारित सरल, सुबोध् और सुगम्य भाषा में लिखी पुस्तक है।
नवीन पाठ्यक्रम में दिये गये विषयों को समसामयिक मुद्दों से अंतर्संबंध करना।
उत्तर प्रदेश सरकार के द्वारा संचालित नीतियों, योजनाओं, परियोजनाओं का यथा सम्भव स्थान पर समावेश किया
गया है।
फ्लोचार्ट, तालिकाओं, चित्रों का प्रयोग, जिन्हें उत्तर लेखन में प्रयुक्त किया जा सकता है।
यूपीपीएससी 2023 मुख् परीक्षा (सामान्य अध्ययन पेपर-5) के मॉडल उत्तर की प्रस्तुति।</t>
        </is>
      </c>
      <c r="I159" s="6" t="inlineStr">
        <is>
          <t>कामना सिंह, वर्तमान में राज्य कर अध्किारी, उत्तर प्रदेश के पद पर नियुक्त हैं। इनका चयन उत्तर प्रदेश लोक सेवा आयोग द्वारा आयोजित पीएससी परीक्षा 2016 में हुआ। लेखिका को आईएएस एवं विभिन्न राज्यों की पीएससी परीक्षायें देने का अनुभव रहा है।
वैभव कुमार, वर्तमान में सिविल सेवा प्रशिक्षक एवं मार्गदर्शक के रूप में विभिन्न अभ्यर्थियों का मार्गदर्शन एवं निर्देशन कर रहे हैं। इन्होने आईएएस एवं विभिन्न पीएससी परीक्षाओं में प्री एवं मेन्स की परीक्षायें उत्तीर्ण की हैं तथा हिंदी साहित्य, राजनीति विज्ञान एवं समाज कार्य जैसे विषयों का गहन अध्ययन किया है तथा स्नातकोत्तर उपाध्यिाँ प्राप्त की हैं।</t>
        </is>
      </c>
      <c r="J159" s="4" t="n">
        <v>1</v>
      </c>
      <c r="K159" s="4" t="inlineStr">
        <is>
          <t>Hindi</t>
        </is>
      </c>
      <c r="L159" s="4" t="inlineStr">
        <is>
          <t>PB</t>
        </is>
      </c>
      <c r="M159" s="6" t="inlineStr">
        <is>
          <t>India</t>
        </is>
      </c>
      <c r="N159" s="20" t="n">
        <v>45292</v>
      </c>
      <c r="O159" s="4" t="n">
        <v>292</v>
      </c>
      <c r="P159" s="44" t="n">
        <v>350</v>
      </c>
      <c r="Q159" s="6" t="n">
        <v>24</v>
      </c>
      <c r="R159" s="6" t="n">
        <v>18.5</v>
      </c>
      <c r="S159" s="6" t="n">
        <v>2.5</v>
      </c>
      <c r="T159" s="6" t="n">
        <v>600</v>
      </c>
    </row>
    <row r="160" ht="20.1" customHeight="1">
      <c r="A160" s="6" t="n">
        <v>159</v>
      </c>
      <c r="B160" s="4" t="inlineStr">
        <is>
          <t>BGR</t>
        </is>
      </c>
      <c r="C160" s="4" t="inlineStr">
        <is>
          <t>OakBridge</t>
        </is>
      </c>
      <c r="D160" s="10" t="n">
        <v>9789395764780</v>
      </c>
      <c r="E160" s="10" t="n">
        <v>9395764783</v>
      </c>
      <c r="F160" s="5" t="inlineStr">
        <is>
          <t xml:space="preserve">Dr. Kuldip Chand Agnihotri </t>
        </is>
      </c>
      <c r="G160" s="4" t="inlineStr">
        <is>
          <t>Transforming HARYANA 9 Incredible Years of Haryana Government</t>
        </is>
      </c>
      <c r="H160" s="6" t="inlineStr">
        <is>
          <t>A comprehensive compendium presenting an account of nearly a decade of work by the Manohar Lal Government.
Describes in detail, along with data, the nature of the plans, their objectives, the implementing agency, and the classes of society kept in mind while preparing the outline of the plan.
Valuable insights on the comprehensive governance strategies, innovative policies, and impactful projects that have shaped the state’s landscape.
This collection includes three types of articles:
First, articles by scholars who have been active in political life for a long time expressing their opinion on various schemes of the Haryana government.
Second, articles by officers working or who have worked in various positions in the state’s executive regarding the implementation of these schemes.
Third, articles by scholars working in the academic field explaining the long-term impacts of these schemes.</t>
        </is>
      </c>
      <c r="I160" s="6" t="inlineStr">
        <is>
          <t>Dr. Kuldip Chand Agnihotri, Former Vice-Chancellor, Central University of Himachal Pradesh, Dharamshala.</t>
        </is>
      </c>
      <c r="J160" s="4" t="n">
        <v>1</v>
      </c>
      <c r="K160" s="4" t="inlineStr">
        <is>
          <t>English</t>
        </is>
      </c>
      <c r="L160" s="4" t="inlineStr">
        <is>
          <t>HB</t>
        </is>
      </c>
      <c r="M160" s="6" t="inlineStr">
        <is>
          <t>India</t>
        </is>
      </c>
      <c r="N160" s="20" t="n">
        <v>45323</v>
      </c>
      <c r="O160" s="4" t="n">
        <v>404</v>
      </c>
      <c r="P160" s="44" t="n">
        <v>895</v>
      </c>
      <c r="Q160" s="6" t="n">
        <v>24</v>
      </c>
      <c r="R160" s="6" t="n">
        <v>16</v>
      </c>
      <c r="S160" s="6" t="n">
        <v>2.5</v>
      </c>
      <c r="T160" s="6" t="n">
        <v>700</v>
      </c>
    </row>
    <row r="161" ht="20.1" customHeight="1">
      <c r="A161" s="6" t="n">
        <v>160</v>
      </c>
      <c r="B161" s="4" t="inlineStr">
        <is>
          <t>BGR</t>
        </is>
      </c>
      <c r="C161" s="4" t="inlineStr">
        <is>
          <t>OakBridge</t>
        </is>
      </c>
      <c r="D161" s="10" t="n">
        <v>9789395764964</v>
      </c>
      <c r="E161" s="10" t="n">
        <v>9395764961</v>
      </c>
      <c r="F161" s="5" t="inlineStr">
        <is>
          <t>प्रोफेसर कुलदीप चन्द अग्निहोत्री</t>
        </is>
      </c>
      <c r="G161" s="4" t="inlineStr">
        <is>
          <t>हरियाणा सरकार के 9 अतुलनीय वर्ष एक नए एवं जीवंत हरियाणा का उदय</t>
        </is>
      </c>
      <c r="H161" s="6" t="inlineStr">
        <is>
          <t>मनोहर लाल सरकार के लगभग एक दशक के कामकाज का लेखा-जोखा प्रस्तुत करने वाला एक व्यापक सार-संग्रह।
डेटा के साथ-साथ योजनाओं की प्रकृति, उनके उद्देश्य, कार्यान्वयन एजेंसी और योजना की रूपरेखा तैयार करते समय ध्यान में रखे जाने वाले समाज के वर्गों का भी विस्तार से वर्णन करता है।
व्यापक शासन रणनीतियों, नवीन नीतियों और प्रभावशाली परियोजनाओं पर मूल्यवान अंतर्दृष्टि, जिन्होंने राज्य के परिदृश्य को आकार दिया है।
इस संग्रह में तीन प्रकार के लेख शामिल हैं:
सबसे पहले, लंबे समय से राजनीतिक जीवन में सक्रिय रहे विद्वानों के लेख, जो हरियाणा सरकार की विभिन्न योजनाओं पर अपनी राय व्यक्त करते हैं।
दूसरा, इन योजनाओं के कार्यान्वयन के संबंध में राज्य की कार्यकारिणी में विभिन्न पदों पर कार्यरत या काम कर चुके अधिकारियों के लेख।
तीसरा, शैक्षणिक क्षेत्र में काम करने वाले विद्वानों के लेख जो इन योजनाओं के दीर्घकालिक प्रभावों को समझाते हैं।</t>
        </is>
      </c>
      <c r="I161" s="6" t="inlineStr">
        <is>
          <t>डॉ. कुलदीप चंद अग्निहोत्री, पूर्व कुलपति, हिमाचल प्रदेश केंद्रीय विश्वविद्यालय, धर्मशाला|</t>
        </is>
      </c>
      <c r="J161" s="4" t="n">
        <v>1</v>
      </c>
      <c r="K161" s="4" t="inlineStr">
        <is>
          <t>Hindi</t>
        </is>
      </c>
      <c r="L161" s="4" t="inlineStr">
        <is>
          <t>HB</t>
        </is>
      </c>
      <c r="M161" s="6" t="inlineStr">
        <is>
          <t>India</t>
        </is>
      </c>
      <c r="N161" s="20" t="n">
        <v>45323</v>
      </c>
      <c r="O161" s="4" t="n">
        <v>402</v>
      </c>
      <c r="P161" s="44" t="n">
        <v>850</v>
      </c>
      <c r="Q161" s="6" t="n">
        <v>24</v>
      </c>
      <c r="R161" s="6" t="n">
        <v>16</v>
      </c>
      <c r="S161" s="6" t="n">
        <v>2.5</v>
      </c>
      <c r="T161" s="6" t="n">
        <v>700</v>
      </c>
    </row>
    <row r="162" ht="20.1" customHeight="1">
      <c r="A162" s="6" t="n">
        <v>161</v>
      </c>
      <c r="B162" s="4" t="inlineStr">
        <is>
          <t>Tax</t>
        </is>
      </c>
      <c r="C162" s="4" t="inlineStr">
        <is>
          <t>OakBridge</t>
        </is>
      </c>
      <c r="D162" s="10" t="n">
        <v>9789395764742</v>
      </c>
      <c r="E162" s="10" t="inlineStr">
        <is>
          <t>B0CV9W9DVB</t>
        </is>
      </c>
      <c r="F162" s="5" t="inlineStr">
        <is>
          <t>K R Sekar</t>
        </is>
      </c>
      <c r="G162" s="4" t="inlineStr">
        <is>
          <t>Double Taxation Treaties - Concepts, Practices &amp; Trends (2 Vol. Set)</t>
        </is>
      </c>
      <c r="H162" s="6" t="inlineStr">
        <is>
          <t>A comprehensive exploration of Double Taxation Avoidance Agreements, encompassing prevailing issues &amp; practices as well as emerging trends.
The book considers the increasing complexities relating to digital economy and its impact on the prevailing principles and concepts under the DTAA, while explaining in detail the existing treaties and the latest judicial decisions relating to it.
The two volume set analyses Anti-Avoidance Regulations and practices under relevant provisions including Thin Cap Regulations, CFC Regulations &amp; GAAR.
Additionally, Multilateral Instruments, Pillar 1 and Pillar 2, pertinent issues within select industries, new tax architecture trends &amp; the relevance of OECD amid challenges posed by developing countries have been dealt with in detail.
The book will be a useful reference for tax professionals, policymakers, judicial officers, enforcement authorities, academicians &amp; tax students.</t>
        </is>
      </c>
      <c r="I162" s="6" t="inlineStr">
        <is>
          <t>K R Sekar is a Partner with Deloitte Touche Tohmatsu India LLP and Leader – Domestic Market and Deloitte Private for Deloitte India. He has over three decades of experience in the fields of international taxation, transfer pricing, direct taxes and mergers and acquisitions. He is also associated with several landmark litigations relating to global companies. He was recognised as one of India's leading tax advisers in Legal Media Group's Guide to the World's Leading Tax Advisers, Euromoney and International Tax Review. He has served as the President of the Bangalore Chamber of Industry &amp; Commerce and is the Governing Member of the International Tax Research and Analysis Foundation (ITRAF), a dedicated research body in the field of international tax.</t>
        </is>
      </c>
      <c r="J162" s="4" t="n">
        <v>1</v>
      </c>
      <c r="K162" s="4" t="inlineStr">
        <is>
          <t>English</t>
        </is>
      </c>
      <c r="L162" s="4" t="inlineStr">
        <is>
          <t>HB</t>
        </is>
      </c>
      <c r="M162" s="6" t="inlineStr">
        <is>
          <t>India</t>
        </is>
      </c>
      <c r="N162" s="20" t="n">
        <v>45323</v>
      </c>
      <c r="O162" s="4" t="n">
        <v>1754</v>
      </c>
      <c r="P162" s="44" t="n">
        <v>4450</v>
      </c>
      <c r="Q162" s="6" t="n">
        <v>24</v>
      </c>
      <c r="R162" s="6" t="n">
        <v>16</v>
      </c>
      <c r="S162" s="6" t="n">
        <v>2.5</v>
      </c>
      <c r="T162" s="6" t="n">
        <v>3200</v>
      </c>
    </row>
    <row r="163" ht="20.1" customHeight="1">
      <c r="A163" s="6" t="n">
        <v>162</v>
      </c>
      <c r="B163" s="4" t="inlineStr">
        <is>
          <t>Law</t>
        </is>
      </c>
      <c r="C163" s="4" t="inlineStr">
        <is>
          <t>OakBridge</t>
        </is>
      </c>
      <c r="D163" s="10" t="n">
        <v>9789395764971</v>
      </c>
      <c r="E163" s="10" t="inlineStr">
        <is>
          <t>939576497X</t>
        </is>
      </c>
      <c r="F163" s="5" t="inlineStr">
        <is>
          <t>N Vijayaraghavan and Sharath Chandran</t>
        </is>
      </c>
      <c r="G163" s="4" t="inlineStr">
        <is>
          <t>Supreme Court of India: Musings, Anecdotes &amp; Episodes</t>
        </is>
      </c>
      <c r="H163" s="6" t="inlineStr">
        <is>
          <t>The book explains the journey of the highest court in India since its inception 75 years ago.
Offers a compelling account of the origins of the Federal Court and Constituent Assembly Debates.
It weaves together a series of thought-provoking narratives relating to appointment of judges, credibility of the judicial institution, judicial legislation, and public interest litigation.
A well-researched critique on select judgments of the Supreme Court with the intent to present an alternative perspective on the issues under discussion in these cases.
Useful for lawyers, legal academics, scholars, researchers, policy makers and interested citizens.</t>
        </is>
      </c>
      <c r="I163" s="6" t="inlineStr">
        <is>
          <t>N Vijayaraghavan is a practising Advocate, Madras High Court, with over 3 decades of experience. He has authored several books like Constitution and its Making: Musings, Anecdotes and Episodes &amp; Constitution and its Working: Musings, Anecdotes and Episodes. He has been a resource person with TN Judicial Academy, run by the Madras High Court and National Judicial Academy, Bhopal, run by the Supreme Court of India.
Sharath Chandran is an Advocate practising primarily at the Madras High Court. He completed his law from the ILS Law College, Pune and went on to read for the B.C.L from the University of Oxford. He has co-authored several books on the Constitution of India, Motor Vehicles Laws, Principles of Insurance Law, Law of Evidence et al.</t>
        </is>
      </c>
      <c r="J163" s="4" t="n">
        <v>1</v>
      </c>
      <c r="K163" s="4" t="inlineStr">
        <is>
          <t>English</t>
        </is>
      </c>
      <c r="L163" s="4" t="inlineStr">
        <is>
          <t>PB</t>
        </is>
      </c>
      <c r="M163" s="6" t="inlineStr">
        <is>
          <t>India</t>
        </is>
      </c>
      <c r="N163" s="20" t="n">
        <v>45352</v>
      </c>
      <c r="O163" s="4" t="n">
        <v>398</v>
      </c>
      <c r="P163" s="44" t="n">
        <v>695</v>
      </c>
      <c r="Q163" s="6" t="n">
        <v>24</v>
      </c>
      <c r="R163" s="6" t="n">
        <v>16</v>
      </c>
      <c r="S163" s="6" t="n">
        <v>2.5</v>
      </c>
      <c r="T163" s="6" t="n">
        <v>500</v>
      </c>
    </row>
    <row r="164" ht="20.1" customHeight="1">
      <c r="A164" s="6" t="n">
        <v>163</v>
      </c>
      <c r="B164" s="4" t="inlineStr">
        <is>
          <t>Academic</t>
        </is>
      </c>
      <c r="C164" s="4" t="inlineStr">
        <is>
          <t>Edge</t>
        </is>
      </c>
      <c r="D164" s="10" t="n">
        <v>9789395764865</v>
      </c>
      <c r="E164" s="10" t="n">
        <v>9395764864</v>
      </c>
      <c r="F164" s="5" t="inlineStr">
        <is>
          <t>OakBridge</t>
        </is>
      </c>
      <c r="G164" s="4" t="inlineStr">
        <is>
          <t>Previous Years Solved Papers- Psychology Paper-I (2015-2023)</t>
        </is>
      </c>
      <c r="H164" s="6" t="inlineStr">
        <is>
          <t>Previous Year’s Solved Papers-Psychology Paper I is a comprehensive text specifically aimed at the aspirants of the Civil Services Examination. It will also be useful for those appearing in various civil services examinations.
The book begins with an insight into the methodology of writing psychology answers and strategies (optional). It illustrates the use of Bloom's Taxonomy of Critical Thinking to reach at an answer or conclusion. The book contains answers for Psychology Paper I of Civil Services Examination (Main) from 2015 to 2023, and trend analysis of last three years for Psychology Paper I of Civil Services Examination (Main).
This book is a first-of-its-kind attempt to provide a single book with brevity and simplicity that ease the Civil Services preparation journey of aspirants.
Key Features
Provides solved papers of Psychology Paper I of Civil Services Main Examination
from 2015 to 2023
Insights on Answer Writing Methodology and Strategies
Illustrates the use of Bloom's Taxonomy for critical thinking
Contains trend analysis of last three years for Psychology Paper I of Civil Services
Examination (Main)
Mapped to the New Syllabus of UPSC
Embedded with Mind-Maps and Flow chart</t>
        </is>
      </c>
      <c r="I164" s="6" t="inlineStr">
        <is>
          <t>OakBridge</t>
        </is>
      </c>
      <c r="J164" s="4" t="n">
        <v>2</v>
      </c>
      <c r="K164" s="4" t="inlineStr">
        <is>
          <t>English</t>
        </is>
      </c>
      <c r="L164" s="4" t="inlineStr">
        <is>
          <t>PB</t>
        </is>
      </c>
      <c r="M164" s="6" t="inlineStr">
        <is>
          <t>India</t>
        </is>
      </c>
      <c r="N164" s="20" t="n">
        <v>45400</v>
      </c>
      <c r="O164" s="4" t="n">
        <v>216</v>
      </c>
      <c r="P164" s="44" t="n">
        <v>300</v>
      </c>
      <c r="Q164" s="6" t="n">
        <v>24</v>
      </c>
      <c r="R164" s="6" t="n">
        <v>16</v>
      </c>
      <c r="S164" s="6" t="n">
        <v>2.5</v>
      </c>
      <c r="T164" s="6" t="n">
        <v>600</v>
      </c>
    </row>
    <row r="165" ht="20.1" customHeight="1">
      <c r="A165" s="6" t="n">
        <v>164</v>
      </c>
      <c r="B165" s="4" t="inlineStr">
        <is>
          <t>Academic</t>
        </is>
      </c>
      <c r="C165" s="4" t="inlineStr">
        <is>
          <t>Edge</t>
        </is>
      </c>
      <c r="D165" s="10" t="n">
        <v>9789395764711</v>
      </c>
      <c r="E165" s="10" t="n">
        <v>9395764716</v>
      </c>
      <c r="F165" s="5" t="inlineStr">
        <is>
          <t>Harpreet Kaur</t>
        </is>
      </c>
      <c r="G165" s="4" t="inlineStr">
        <is>
          <t>MasterGuide to NTA UGC NET | SET | JRF Paper 1 (Teaching and Research Aptitude)</t>
        </is>
      </c>
      <c r="H165" s="6" t="inlineStr">
        <is>
          <t>Complete Coverage of Latest Syllabus as per Exam Trends
Strategy and Tips to Crack NET Exam in First Attempt
Chapter-wise PYQs (2004-2023) for Revision &amp; Retention
Latest 2023 Question Papers with Solutions
Tips and Tricks to Quickly Solve Questions
3800+ Questions for Practice in Online and Offline Mode
11 Free Mock Tests in Real Exam-like Interface</t>
        </is>
      </c>
      <c r="I165" s="6" t="inlineStr">
        <is>
          <t>Harpreet Kaur, former faculty at Guru Nanak Dev University, Amritsar and founding director of Egzaminer is a seasoned writer and has dedicated herself to simplifying the complexities of competitive exams, primarily NTA UGC-NET Paper-1. With a wealth of knowledge and a knack for clarity, she has perfectly mastered the art of guiding the aspiring individuals through the intricate maze of competitive exams. Through this book, get ready to embark on a transformative journey as she shares insights, strategies, and a roadmap to success in the world of competitive exams.</t>
        </is>
      </c>
      <c r="J165" s="4" t="n">
        <v>5</v>
      </c>
      <c r="K165" s="4" t="inlineStr">
        <is>
          <t>English</t>
        </is>
      </c>
      <c r="L165" s="4" t="inlineStr">
        <is>
          <t>PB</t>
        </is>
      </c>
      <c r="M165" s="6" t="inlineStr">
        <is>
          <t>India</t>
        </is>
      </c>
      <c r="N165" s="20" t="n">
        <v>45400</v>
      </c>
      <c r="O165" s="4" t="n">
        <v>700</v>
      </c>
      <c r="P165" s="44" t="n">
        <v>570</v>
      </c>
      <c r="Q165" s="6" t="n">
        <v>21.5</v>
      </c>
      <c r="R165" s="6" t="n">
        <v>14</v>
      </c>
      <c r="S165" s="6" t="n">
        <v>2.5</v>
      </c>
      <c r="T165" s="6" t="n">
        <v>1010</v>
      </c>
    </row>
    <row r="166" ht="20.1" customHeight="1">
      <c r="A166" s="6" t="n">
        <v>165</v>
      </c>
      <c r="B166" s="4" t="inlineStr">
        <is>
          <t>Law</t>
        </is>
      </c>
      <c r="C166" s="4" t="inlineStr">
        <is>
          <t>OakBridge</t>
        </is>
      </c>
      <c r="D166" s="10" t="n">
        <v>9789395764889</v>
      </c>
      <c r="E166" s="10" t="n">
        <v>9395764880</v>
      </c>
      <c r="F166" s="5" t="inlineStr">
        <is>
          <t>Puneet Bhasin</t>
        </is>
      </c>
      <c r="G166" s="4" t="inlineStr">
        <is>
          <t>Practical Guide to Digital Personal Data Protection Act, 2023 Law and Compliance</t>
        </is>
      </c>
      <c r="H166" s="6" t="inlineStr">
        <is>
          <t>Discusses the importance of data protection laws in India in regulating the collection, processing and storage of personal data, particularly in light of technological advancements and the misuse of data by both domestic and foreign entities.
The book provides an in-depth understanding of the Digital Personal Data Protection Act, 2023, detailing all its provisions. Additionally, it outlines the scope, exceptions and enforcement mechanisms under the Act, along with steps for compliance and penalties for non-compliance.
The book will be useful for Legal Professionals, CISOs, CIOs, Key Management functions of organisations, Data Protection Officers, Policy Makers and Government Officials, Business Executives and Entrepreneurs, Data Privacy Advocates and Activists, Data Subjects, Compliance Officers and Auditors, Technology and Cybersecurity Professionals and International Stakeholders.</t>
        </is>
      </c>
      <c r="I166" s="6" t="inlineStr">
        <is>
          <t>Advocate Puneet Bhasin is a Pioneer in Cyber Laws, Data Privacy &amp; Protection and Online Entertainment laws in India and the most sought-after legal practitioner in this space. She is an advisor to the Rajya Sabha Committees on various aspects of Internet laws and is the recipient of 10 National Level Awards. She is a well-known author on Cyber laws and frequently contributes articles in newspapers and online portals. She regularly features on leading news channels including BBC, CNBC, Zee News, and DD News sharing her views and recommendations.</t>
        </is>
      </c>
      <c r="J166" s="4" t="n">
        <v>1</v>
      </c>
      <c r="K166" s="4" t="inlineStr">
        <is>
          <t>English</t>
        </is>
      </c>
      <c r="L166" s="4" t="inlineStr">
        <is>
          <t>PB</t>
        </is>
      </c>
      <c r="M166" s="6" t="inlineStr">
        <is>
          <t>India</t>
        </is>
      </c>
      <c r="N166" s="20" t="n">
        <v>45409</v>
      </c>
      <c r="O166" s="4" t="n">
        <v>228</v>
      </c>
      <c r="P166" s="44" t="n">
        <v>695</v>
      </c>
      <c r="Q166" s="6" t="n">
        <v>24</v>
      </c>
      <c r="R166" s="6" t="n">
        <v>16</v>
      </c>
      <c r="S166" s="6" t="n">
        <v>2.5</v>
      </c>
      <c r="T166" s="6" t="n">
        <v>800</v>
      </c>
    </row>
    <row r="167" ht="20.1" customHeight="1">
      <c r="A167" s="6" t="n">
        <v>166</v>
      </c>
      <c r="B167" s="4" t="inlineStr">
        <is>
          <t>Law</t>
        </is>
      </c>
      <c r="C167" s="4" t="inlineStr">
        <is>
          <t>OakBridge</t>
        </is>
      </c>
      <c r="D167" s="10" t="n">
        <v>9789395764698</v>
      </c>
      <c r="E167" s="10" t="n">
        <v>9395764694</v>
      </c>
      <c r="F167" s="5" t="inlineStr">
        <is>
          <t>Raju Z Moray</t>
        </is>
      </c>
      <c r="G167" s="4" t="inlineStr">
        <is>
          <t>Court Jester</t>
        </is>
      </c>
      <c r="H167" s="6" t="inlineStr">
        <is>
          <t>This anthology brings together Prose and Poetry which was featured on the ‘Court Jester’ page of the Lawyers Collective Magazine from 1993 to 2003. The feature was immensely entertaining and popular. Long out of print and difficult to access, there was a consistent demand over the years from its fans to collect all the pieces together and publish them as a book. These pieces can still be enjoyed with much pleasure and profit because no one ever learns from their mistakes. Ludicrous behaviour will never go out of fashion, and bloated egos still require puncturing.</t>
        </is>
      </c>
      <c r="I167" s="6" t="inlineStr">
        <is>
          <t>An alumnus of St. Xaviers College and Government Law College, Bombay Mr. Moray is a practicing lawyer. He was enrolled as an advocate in 1985 and joined the Chambers of Advocate Michael F. Saldanha (Later judge of Bombay &amp; Karnataka High Courts). For the past 35 years Mr. Moray has been contributing articles and poems to the various publications of the Lawyers Collective. An anthology of his ‘Court Jester’ columns for the Lawyer’s Collective magazine was published as a book ‘COURT JESTER’ to critical acclaim in 2017 and a series of 60 poems penned during the lockdown was published as ‘THE LOCKED DOWN LAWYER’ in December 2021. His highly popular ‘Adaalat Antics’ stories appear regularly on theleaflet.in web portal.</t>
        </is>
      </c>
      <c r="J167" s="4" t="n">
        <v>1</v>
      </c>
      <c r="K167" s="4" t="inlineStr">
        <is>
          <t>English</t>
        </is>
      </c>
      <c r="L167" s="4" t="inlineStr">
        <is>
          <t>PB</t>
        </is>
      </c>
      <c r="M167" s="6" t="inlineStr">
        <is>
          <t>India</t>
        </is>
      </c>
      <c r="N167" s="20" t="n">
        <v>45413</v>
      </c>
      <c r="O167" s="4" t="n">
        <v>218</v>
      </c>
      <c r="P167" s="44" t="n">
        <v>495</v>
      </c>
      <c r="Q167" s="6" t="n">
        <v>21.5</v>
      </c>
      <c r="R167" s="6" t="n">
        <v>14</v>
      </c>
      <c r="S167" s="6" t="n">
        <v>2.5</v>
      </c>
      <c r="T167" s="6" t="n">
        <v>400</v>
      </c>
    </row>
    <row r="168" ht="20.1" customHeight="1">
      <c r="A168" s="6" t="n">
        <v>167</v>
      </c>
      <c r="B168" s="4" t="inlineStr">
        <is>
          <t>Law</t>
        </is>
      </c>
      <c r="C168" s="4" t="inlineStr">
        <is>
          <t>OakBridge</t>
        </is>
      </c>
      <c r="D168" s="10" t="n">
        <v>9789395764759</v>
      </c>
      <c r="E168" s="10" t="n">
        <v>9395764759</v>
      </c>
      <c r="F168" s="5" t="inlineStr">
        <is>
          <t>Raju Z Moray</t>
        </is>
      </c>
      <c r="G168" s="4" t="inlineStr">
        <is>
          <t>Tales of Law &amp; Laughter</t>
        </is>
      </c>
      <c r="H168" s="6" t="inlineStr">
        <is>
          <t>This anthology brings together thirty anecdotal stories selected from the popular ‘Adaalat Antics’ series written for theleaflet.in by the author Raju Z. Moray and specially illustrated for this exclusive print edition by Farzana Cooper. Readers will enjoy a humorous view of the life of a lawyer from law college to the Bar and the Bench. These fictional pen-portraits of lawyers and judges have entertained thousands of online readers and there has been an insistent demand from readers to collect and publish this treasury of comic tales in book form. This anthology fulfills that demand.</t>
        </is>
      </c>
      <c r="I168" s="6" t="inlineStr">
        <is>
          <t>An alumnus of St. Xaviers College and Government Law College, Bombay Mr. Moray is a practicing lawyer. He was enrolled as an advocate in 1985 and joined the Chambers of Advocate Michael F. Saldanha (Later judge of Bombay &amp; Karnataka High Courts). For the past 35 years Mr. Moray has been contributing articles and poems to the various publications of the Lawyers Collective. An anthology of his ‘Court Jester’ columns for the Lawyer’s Collective magazine was published as a book ‘COURT JESTER’ to critical acclaim in 2017 and a series of 60 poems penned during the lockdown was published as ‘THE LOCKED DOWN LAWYER’ in December 2021. His highly popular ‘Adaalat Antics’ stories appear regularly on theleaflet.in web portal.</t>
        </is>
      </c>
      <c r="J168" s="4" t="n">
        <v>1</v>
      </c>
      <c r="K168" s="4" t="inlineStr">
        <is>
          <t>English</t>
        </is>
      </c>
      <c r="L168" s="4" t="inlineStr">
        <is>
          <t>PB</t>
        </is>
      </c>
      <c r="M168" s="6" t="inlineStr">
        <is>
          <t>India</t>
        </is>
      </c>
      <c r="N168" s="20" t="n">
        <v>45413</v>
      </c>
      <c r="O168" s="4" t="n">
        <v>197</v>
      </c>
      <c r="P168" s="44" t="n">
        <v>495</v>
      </c>
      <c r="Q168" s="6" t="n">
        <v>21.5</v>
      </c>
      <c r="R168" s="6" t="n">
        <v>14</v>
      </c>
      <c r="S168" s="6" t="n">
        <v>2.5</v>
      </c>
      <c r="T168" s="6" t="n">
        <v>400</v>
      </c>
    </row>
    <row r="169" ht="20.1" customHeight="1">
      <c r="A169" s="6" t="n">
        <v>168</v>
      </c>
      <c r="B169" s="4" t="inlineStr">
        <is>
          <t>Tax</t>
        </is>
      </c>
      <c r="C169" s="4" t="inlineStr">
        <is>
          <t>OakBridge</t>
        </is>
      </c>
      <c r="D169" s="10" t="n">
        <v>9789395764735</v>
      </c>
      <c r="E169" s="10" t="n">
        <v>9395764732</v>
      </c>
      <c r="F169" s="5" t="inlineStr">
        <is>
          <t>CA Pushpendra Dixit</t>
        </is>
      </c>
      <c r="G169" s="4" t="inlineStr">
        <is>
          <t>New-Age Economy Taxation: An Overview of Taxation of Digital Businesses</t>
        </is>
      </c>
      <c r="H169" s="6" t="inlineStr">
        <is>
          <t>Analyses the complexities of taxing digital business transactions, focusing on the introduction of Digital Services Taxes (DST) to ensure fair taxation for foreign corporations operating within different market jurisdictions.
Exploring unilateral tax measures adopted globally, with a spotlight on India, the book covers taxation of digital goods, services, and online advertising. It also examines the OECD's Two-Pillar approach, addressing the allocation of taxing rights and establishing a global minimum corporate tax rate.
Further, the book advocates the inclusion of digital transactions in the tax net to level the playing field for businesses.
The book will be useful for tax professionals, financial consultants, multinational corporations, technology firms, policymakers, legal professionals, academicians &amp; tax students.
Exploring unilateral tax measures adopted globally, with a spotlight on India, the book covers taxation of digital goods, services, and online advertising. It also examines the OECD's Two-Pillar approach, addressing the allocation of taxing rights and establishing a global minimum corporate tax rate.
Further, the book advocates the inclusion of digital transactions in the tax net to level the playing field for businesses.
The book will be useful for tax professionals, financial consultants, multinational corporations, technology firms, policymakers, legal professionals, academicians &amp; tax students.</t>
        </is>
      </c>
      <c r="I169" s="6" t="inlineStr">
        <is>
          <t>CA Pushpendra Dixit is a taxation professional having diverse experience of over 18 years in Direct and Indirect taxation. His expertise spans a wide range of tax-related areas, including SEZ/Developer Units establishment, GST implementation, and international tax dispute resolution. His international experience includes successful representations before German tax authorities and initiatives to optimize tax efficiencies across multiple jurisdictions. He is also a visiting faculty at ICAI and NLU Delhi.</t>
        </is>
      </c>
      <c r="J169" s="4" t="n">
        <v>1</v>
      </c>
      <c r="K169" s="4" t="inlineStr">
        <is>
          <t>English</t>
        </is>
      </c>
      <c r="L169" s="4" t="inlineStr">
        <is>
          <t>PB</t>
        </is>
      </c>
      <c r="M169" s="6" t="inlineStr">
        <is>
          <t>India</t>
        </is>
      </c>
      <c r="N169" s="20" t="n">
        <v>45413</v>
      </c>
      <c r="O169" s="4" t="n">
        <v>184</v>
      </c>
      <c r="P169" s="44" t="n">
        <v>495</v>
      </c>
      <c r="Q169" s="6" t="n">
        <v>24</v>
      </c>
      <c r="R169" s="6" t="n">
        <v>16</v>
      </c>
      <c r="S169" s="6" t="n">
        <v>2.5</v>
      </c>
      <c r="T169" s="6" t="n">
        <v>400</v>
      </c>
    </row>
    <row r="170" ht="20.1" customHeight="1">
      <c r="A170" s="6" t="n">
        <v>169</v>
      </c>
      <c r="B170" s="4" t="inlineStr">
        <is>
          <t>Academic</t>
        </is>
      </c>
      <c r="C170" s="4" t="inlineStr">
        <is>
          <t>Edge</t>
        </is>
      </c>
      <c r="D170" s="10" t="n">
        <v>9789395764940</v>
      </c>
      <c r="E170" s="10" t="n">
        <v>9395764945</v>
      </c>
      <c r="F170" s="5" t="inlineStr">
        <is>
          <t>Sudhanshu Mishra &amp; CS Nikunj Gupta</t>
        </is>
      </c>
      <c r="G170" s="4" t="inlineStr">
        <is>
          <t>General Studies Paper I-VI | Mock Test and Previous Year Papers</t>
        </is>
      </c>
      <c r="H170" s="6" t="inlineStr">
        <is>
          <t>GENERAL STUDIES PAPER I-VI Mock Test and Previous Year Papers is a comprehensive book specifically aims at the aspirants of the UPPSC (Mains) Examination.
This book serves as a valuable tool to aid your exam preparation, offering a deeper insight into the examination pattern, question trends, and crucial concepts. Carefully designed, it provides a strategic edge with comprehensive solutions to the UPPSC previous years' papers and engaging solved mock papers. Each solution comes with clear explanations, helping you grasp the fundamental concepts better and sharpening your problem-solving abilities.</t>
        </is>
      </c>
      <c r="I170" s="6" t="inlineStr">
        <is>
          <t>Sudhanshu Mishra, the author of this UPPSC exam preparation book, holds a B.A., LL.B. and an MBA. As the founder of IAS NEXT, he is characterised by more than 5,000 enrolled students, a dedicated team of more than 20 qualified teachers, more than 5 national awards and rich experience of more than 15 years.
CS Nikunj Gupta is an experienced professional with diverse academic credentials, including a Company Secretary qualification, LL.B., and an M.A. in Economics. He boasts achievements in UPPSC exams and has received the President and Governor Awards, showcasing his dedication to excellence.</t>
        </is>
      </c>
      <c r="J170" s="4" t="n">
        <v>1</v>
      </c>
      <c r="K170" s="4" t="inlineStr">
        <is>
          <t>English</t>
        </is>
      </c>
      <c r="L170" s="4" t="inlineStr">
        <is>
          <t>PB</t>
        </is>
      </c>
      <c r="M170" s="6" t="inlineStr">
        <is>
          <t>India</t>
        </is>
      </c>
      <c r="N170" s="20" t="n">
        <v>45442</v>
      </c>
      <c r="O170" s="4" t="n">
        <v>456</v>
      </c>
      <c r="P170" s="44" t="n">
        <v>495</v>
      </c>
      <c r="Q170" s="6" t="n">
        <v>24</v>
      </c>
      <c r="R170" s="6" t="n">
        <v>16</v>
      </c>
      <c r="S170" s="6" t="n">
        <v>2.5</v>
      </c>
      <c r="T170" s="6" t="n">
        <v>700</v>
      </c>
    </row>
    <row r="171" ht="20.1" customHeight="1">
      <c r="A171" s="6" t="n">
        <v>170</v>
      </c>
      <c r="B171" s="4" t="inlineStr">
        <is>
          <t>Academic</t>
        </is>
      </c>
      <c r="C171" s="4" t="inlineStr">
        <is>
          <t>Edge</t>
        </is>
      </c>
      <c r="D171" s="10" t="n">
        <v>9789395764667</v>
      </c>
      <c r="E171" s="10" t="inlineStr">
        <is>
          <t>939576466X</t>
        </is>
      </c>
      <c r="F171" s="5" t="inlineStr">
        <is>
          <t>R Rajagopalan</t>
        </is>
      </c>
      <c r="G171" s="4" t="inlineStr">
        <is>
          <t>Environment and Ecology with Disaster Management</t>
        </is>
      </c>
      <c r="H171" s="6" t="inlineStr">
        <is>
          <t xml:space="preserve">Complete Guide on the subject for the Civil Services Preliminary and Main Examinations as well as the Indian Forest Service Examination. 
Key Features 
•	Question-Answer format for easy preparation for the examination. 
•	Strong focus on India, while covering the major international issues. 
•	Exhaustive coverage of national and international policies, laws, regulations, &amp; conventions. 
•	Liberal use of bullet points to reduce the length of text and enable the aspirants to read
•	and remember the main points. 
•	Many true stories to improve the aspirant’s understanding while creating an interest in the topic.
•	Section on methods of smart study, useful for all the subjects. 
•	Simple language, easy to understand. 
Online Support 
•	Video lessons by the author on important topics. 
•	Dynamic sets of Mock tests 
•	Articles on current events and new developments </t>
        </is>
      </c>
      <c r="I171" s="6" t="inlineStr">
        <is>
          <t>Prof R Rajagopalan
	Former Professor at IIT Madras. 
	Author of 25 books on environment for Civil Services Examination, schools, colleges, and the general public. 
	Given presentations and conducting workshops on environment for different groups. 
	A regular facilitator at Initiatives of Change, Panchgani, where he has made presentations on environment to over 300 IAS and other Civil Services officers since 2008.
	He has published over 25 books on environment for schools, colleges, and the general public.</t>
        </is>
      </c>
      <c r="J171" s="4" t="n">
        <v>4</v>
      </c>
      <c r="K171" s="4" t="inlineStr">
        <is>
          <t>English</t>
        </is>
      </c>
      <c r="L171" s="4" t="inlineStr">
        <is>
          <t>PB</t>
        </is>
      </c>
      <c r="M171" s="6" t="inlineStr">
        <is>
          <t>India</t>
        </is>
      </c>
      <c r="N171" s="20" t="n">
        <v>45442</v>
      </c>
      <c r="O171" s="4" t="n">
        <v>570</v>
      </c>
      <c r="P171" s="44" t="n">
        <v>595</v>
      </c>
      <c r="Q171" s="6" t="n">
        <v>24</v>
      </c>
      <c r="R171" s="6" t="n">
        <v>16</v>
      </c>
      <c r="S171" s="6" t="n">
        <v>2.5</v>
      </c>
      <c r="T171" s="6" t="n">
        <v>800</v>
      </c>
    </row>
    <row r="172" ht="20.1" customHeight="1">
      <c r="A172" s="6" t="n">
        <v>171</v>
      </c>
      <c r="B172" s="4" t="inlineStr">
        <is>
          <t>Academic</t>
        </is>
      </c>
      <c r="C172" s="4" t="inlineStr">
        <is>
          <t>Edge</t>
        </is>
      </c>
      <c r="D172" s="10" t="n">
        <v>9789395764872</v>
      </c>
      <c r="E172" s="10" t="n">
        <v>9395764872</v>
      </c>
      <c r="F172" s="5" t="inlineStr">
        <is>
          <t>Somesh Kumar Upadhyay</t>
        </is>
      </c>
      <c r="G172" s="4" t="inlineStr">
        <is>
          <t>Indian Geography Through Maps</t>
        </is>
      </c>
      <c r="H172" s="6" t="inlineStr">
        <is>
          <t>Indian Geography Through Maps, Second Edition is a comprehensive book on the subject specifically designed for the aspirants of Civil Services examination. It will also be useful for those appearing in various State Services examinations.
The book will help the aspirants to discover the vibrant tapestry of India's geography through maps. This edition provides latest data points sourced from government reports. To ensures clarity, the maps have been updated and illustrated.
A first-of-its-kind attempt, this book presents information with brevity and simplicity to aid preparation for the Civil Services examination.
Key Features
•	With More than 100 Maps and Diagrams
•	Solved Previous Years’ Prelims Papers (2014-2023)
•	Unsolved Previous Years‘ Papers for Geography Optional and GS 1
•	(2014-2023)
•	Updated data and figures
•	Data from authentic Government sources</t>
        </is>
      </c>
      <c r="I172" s="6" t="inlineStr">
        <is>
          <t>Somesh Kumar Upadhyay is an Indian Administrative Service officer of the 2017 batch currently serving as the Collector &amp; DM of Deogarh district in Odisha. He has a master’s degree in biology (by Research) from the Tata Institute of Fundamental Research (TIFR), Mumbai and a BSc (Hons) degree in Microbiology from St. Xavier’s College, Kolkata. He has also qualified in the UGC-NET examination. Geography has been his favourite subject since school, and it was his optional subject in the UPSC CSE 2016 examination where he secured AIR 34.</t>
        </is>
      </c>
      <c r="J172" s="4" t="n">
        <v>2</v>
      </c>
      <c r="K172" s="4" t="inlineStr">
        <is>
          <t>English</t>
        </is>
      </c>
      <c r="L172" s="4" t="inlineStr">
        <is>
          <t>PB</t>
        </is>
      </c>
      <c r="M172" s="6" t="inlineStr">
        <is>
          <t>India</t>
        </is>
      </c>
      <c r="N172" s="20" t="n">
        <v>45442</v>
      </c>
      <c r="O172" s="4" t="n">
        <v>238</v>
      </c>
      <c r="P172" s="44" t="n">
        <v>395</v>
      </c>
      <c r="Q172" s="6" t="n">
        <v>24</v>
      </c>
      <c r="R172" s="6" t="n">
        <v>16</v>
      </c>
      <c r="S172" s="6" t="n">
        <v>2.5</v>
      </c>
      <c r="T172" s="6" t="n">
        <v>400</v>
      </c>
    </row>
    <row r="173" ht="20.1" customHeight="1">
      <c r="A173" s="6" t="n">
        <v>172</v>
      </c>
      <c r="B173" s="4" t="inlineStr">
        <is>
          <t>Law</t>
        </is>
      </c>
      <c r="C173" s="4" t="inlineStr">
        <is>
          <t>OakBridge</t>
        </is>
      </c>
      <c r="D173" s="10" t="n">
        <v>9789395764728</v>
      </c>
      <c r="E173" s="10" t="n">
        <v>9395764724</v>
      </c>
      <c r="F173" s="5" t="inlineStr">
        <is>
          <t>Sumit Pahwa</t>
        </is>
      </c>
      <c r="G173" s="4" t="inlineStr">
        <is>
          <t>Corporate Law Referencer</t>
        </is>
      </c>
      <c r="H173" s="6" t="inlineStr">
        <is>
          <t>Corporate Law Referencer presents a 360o view of the Companies Act, 2013 and Limited Liability Partnership Act, 2008 with section-wise arrangement of all Circulars, Orders, Rules &amp; Notifications including Procedures, FAQs, Resolutions, Adjudication Orders and Judicial Precedents.</t>
        </is>
      </c>
      <c r="I173" s="6" t="inlineStr">
        <is>
          <t>eMinds Legal is a boutique Corporate Law Firm based in Gurgaon, India, specializing in Corporate Secretarial, Corporate Legal, Compliance, Accounting &amp; Payroll. The firm comprises of a team of around 40+ professionals with in-depth subject matter knowledge and Partners having industry experience of over 20 years each. Dr Sumit Pahwa, Partner, eMinds Legal is the lead author of the book. A Corporate Lawyer &amp; Company Secretary, Sumit is the Co-founder of Complinity - Governance, Risk and Compliance Software. Sumit has over 20 years of experience and is an expert in Corporate Laws, Insolvency and Bankruptcy Code (IBC), and Cyber. Sumit regularly appears before the benches of National Company Law Tribunal (NCLT) in relation to IBC, shareholder disputes and other matters.</t>
        </is>
      </c>
      <c r="J173" s="4" t="n">
        <v>10</v>
      </c>
      <c r="K173" s="4" t="inlineStr">
        <is>
          <t>English</t>
        </is>
      </c>
      <c r="L173" s="4" t="inlineStr">
        <is>
          <t>PB</t>
        </is>
      </c>
      <c r="M173" s="6" t="inlineStr">
        <is>
          <t>India</t>
        </is>
      </c>
      <c r="N173" s="20" t="n">
        <v>45444</v>
      </c>
      <c r="O173" s="4" t="n">
        <v>2814</v>
      </c>
      <c r="P173" s="44" t="n">
        <v>4250</v>
      </c>
      <c r="Q173" s="6" t="n">
        <v>24</v>
      </c>
      <c r="R173" s="6" t="n">
        <v>16</v>
      </c>
      <c r="S173" s="6" t="n">
        <v>11</v>
      </c>
      <c r="T173" s="6" t="n">
        <v>3500</v>
      </c>
    </row>
    <row r="174" ht="20.1" customHeight="1">
      <c r="A174" s="6" t="n">
        <v>173</v>
      </c>
      <c r="B174" s="4" t="inlineStr">
        <is>
          <t>BGR</t>
        </is>
      </c>
      <c r="C174" s="4" t="inlineStr">
        <is>
          <t>OakBridge</t>
        </is>
      </c>
      <c r="D174" s="10" t="n">
        <v>9789395764766</v>
      </c>
      <c r="E174" s="10" t="n">
        <v>9395764767</v>
      </c>
      <c r="F174" s="5" t="inlineStr">
        <is>
          <t>Pratap Singh</t>
        </is>
      </c>
      <c r="G174" s="4" t="inlineStr">
        <is>
          <t>India’s Odyssey: From a Developing Country to an Emerging Superpower</t>
        </is>
      </c>
      <c r="H174" s="6" t="inlineStr">
        <is>
          <t>As India embarks on its journey to becoming a developed economy, its developmental odyssey serves as an inspiration and offers time-tested nuggets for aspiring nations striving for all-round progress. India’s Odyssey: From a Developing Country to an Emerging Superpower dives deep into this transformational journey of India — Bharata from its great ancient civilisation to the dark ages of subjugation, followed by its progression into a developing country towards an emerging superpower. The last three decades have seen remarkable changes in India, evident by its modern economy, excellent infrastructure, and an exceptional scientific innovation ecosystem. Armed with a strong military and its ranking as the fifth-largest economy in the world, India radiates confidence in its progress and growth.
The book covers the political journey of the country and important events since Independence. India is already at the cusp of becoming the third largest economy. The author has attempted to capture the holistic economic development of the country that focuses on building a modern and low carbon economy. Recent geopolitical developments and events shaping India and the world right from G-20, BRICS, SCO, QUAD, Ukraine war to Israel-Hamas conflict and other important developments, have also been examined.</t>
        </is>
      </c>
      <c r="I174" s="6" t="inlineStr">
        <is>
          <t>Pratap Singh is an IRS officer with elaborate experience in tax policy formulation and administration over the last 32 years. During his career, he has assumed significant roles in the Government of India and has served at different locations including Delhi, Bangalore, Mumbai, and Gurgaon. He is also the author of the book Reforms in Tax Administration: An Indian Experience, and has written research papers. Mr Singh’s expertise has resulted in several amendments in the Income Tax laws.</t>
        </is>
      </c>
      <c r="J174" s="4" t="n">
        <v>1</v>
      </c>
      <c r="K174" s="4" t="inlineStr">
        <is>
          <t>English</t>
        </is>
      </c>
      <c r="L174" s="4" t="inlineStr">
        <is>
          <t>HB</t>
        </is>
      </c>
      <c r="M174" s="6" t="inlineStr">
        <is>
          <t>India</t>
        </is>
      </c>
      <c r="N174" s="20" t="n">
        <v>45444</v>
      </c>
      <c r="O174" s="4" t="n">
        <v>448</v>
      </c>
      <c r="P174" s="44" t="n">
        <v>1050</v>
      </c>
      <c r="Q174" s="6" t="n">
        <v>24</v>
      </c>
      <c r="R174" s="6" t="n">
        <v>16</v>
      </c>
      <c r="S174" s="6" t="n">
        <v>2.5</v>
      </c>
      <c r="T174" s="6" t="n">
        <v>700</v>
      </c>
    </row>
    <row r="175" ht="20.1" customHeight="1">
      <c r="A175" s="6" t="n">
        <v>174</v>
      </c>
      <c r="B175" s="4" t="inlineStr">
        <is>
          <t>Academic</t>
        </is>
      </c>
      <c r="C175" s="4" t="inlineStr">
        <is>
          <t>Edge</t>
        </is>
      </c>
      <c r="D175" s="10" t="n">
        <v>9788197288395</v>
      </c>
      <c r="E175" s="10" t="n">
        <v>8197288399</v>
      </c>
      <c r="F175" s="5" t="inlineStr">
        <is>
          <t>A P Bhardwaj</t>
        </is>
      </c>
      <c r="G175" s="4" t="inlineStr">
        <is>
          <t xml:space="preserve">Compulsory English </t>
        </is>
      </c>
      <c r="H175" s="6" t="inlineStr">
        <is>
          <t>With a distinguished track record of 14 years as #1 NATIONAL BESTSELLER, A P Bhardwaj’s COMPULSORY ENGLISH 5th Edition has been completely revised and revamped, featuring section-wise solved papers of IAS (MAINS) 2023. This new edition brings: 
•	Updated sections covering Grammar, Vocabulary, and Composition, incorporating the 2023 IAS paper with answers
•	Revised and refined chapters on Punctuation, Precis, and Common Errors (now expanded to 1200)
•	Enhanced vocabulary section, now comprising 2000 words with meanings and usage
•	Inclusion of 3000 synonyms and antonyms, along with clarification on 600 commonly confusing words and substitution for 1000 words
•	Incorporation of 525 distinguished idioms with meanings and usage, as well as exploration of 100 words used in different forms
•	Introduction of a new chapter on Figures of Speech
•	Fully solved Language paper of DELHI JUDICIAL SERVICES EXAMINATION (DJSE), 2023</t>
        </is>
      </c>
      <c r="I175" s="6" t="inlineStr">
        <is>
          <t>A P BHARDWAJ is a well-known name, and an established author of #1 NATIONAL BESTSELLER COMPULSORY ENGLISH for IAS (MAINS) for more than a decade. He has authored more than ten books. He has single-handedly trained and tutored innumerable students to get admission into national law universities and colleges and is known as CLAT GURU. He has also trained and enabled numerous students to score well in English and essay papers in civil and judicial services examinations. He is popular in the tri-city of Chandigarh- Mohali-Panchkula as an ELT expert.</t>
        </is>
      </c>
      <c r="J175" s="4" t="n">
        <v>5</v>
      </c>
      <c r="K175" s="4" t="inlineStr">
        <is>
          <t>English</t>
        </is>
      </c>
      <c r="L175" s="4" t="inlineStr">
        <is>
          <t>PB</t>
        </is>
      </c>
      <c r="M175" s="6" t="inlineStr">
        <is>
          <t>India</t>
        </is>
      </c>
      <c r="N175" s="20" t="n">
        <v>45422</v>
      </c>
      <c r="O175" s="4" t="n">
        <v>702</v>
      </c>
      <c r="P175" s="44" t="n">
        <v>565</v>
      </c>
      <c r="Q175" s="6" t="n">
        <v>24</v>
      </c>
      <c r="R175" s="6" t="n">
        <v>16</v>
      </c>
      <c r="S175" s="6" t="n">
        <v>3</v>
      </c>
      <c r="T175" s="6" t="n">
        <v>810</v>
      </c>
    </row>
    <row r="176" ht="20.1" customHeight="1">
      <c r="A176" s="6" t="n">
        <v>175</v>
      </c>
      <c r="B176" s="4" t="inlineStr">
        <is>
          <t>Law</t>
        </is>
      </c>
      <c r="C176" s="4" t="inlineStr">
        <is>
          <t>OakBridge</t>
        </is>
      </c>
      <c r="D176" s="10" t="n">
        <v>9789395764803</v>
      </c>
      <c r="E176" s="10" t="n">
        <v>9395764805</v>
      </c>
      <c r="F176" s="5" t="inlineStr">
        <is>
          <t>Karan Trehan</t>
        </is>
      </c>
      <c r="G176" s="4" t="inlineStr">
        <is>
          <t>Electricity Laws in India – A Comprehensive Analysis with Regulatory Provisions &amp; Case Law</t>
        </is>
      </c>
      <c r="H176" s="6" t="inlineStr">
        <is>
          <t>Electricity Laws in India: A Comprehensive Analysis with Regulatory Provisions &amp; Case
Law provides a thorough review of the legal framework that governs the electricity
sector in India. 
It offers: 
•	a detailed analysis of the historical evolution and regulatory framework, elucidating the key legal principles that influence the sector.
•	a comprehensive overview of the development of the electricity sector, from early challenges to the present regulatory environment. 
•	an analysis of the Electricity Act of 2003 and explores the functions of regulatory commissions at both central and state levels.
•	critical topics such as tariff determination, licensing, transmission, distribution, generation compliance, and dispute resolution.
It is a valuable resource for policymakers, legal practitioners, academics, and students interested in understanding electricity laws in India.</t>
        </is>
      </c>
      <c r="I176" s="6" t="inlineStr">
        <is>
          <t>Karan Trehan is an advocate at a top-tier law firm in India, specialising in the areas of electricity law, arbitration, &amp; white-collar crimes. Having represented organisations across
a range of sectors, he is known for effectively handling complex and high-stakes litigations. 
Karan has a passion for legal research and writing, having authored a book and contributed to various legal publications, which demonstrate his versatility and depth of knowledge.</t>
        </is>
      </c>
      <c r="J176" s="4" t="n">
        <v>1</v>
      </c>
      <c r="K176" s="4" t="inlineStr">
        <is>
          <t>English</t>
        </is>
      </c>
      <c r="L176" s="4" t="inlineStr">
        <is>
          <t>HB</t>
        </is>
      </c>
      <c r="M176" s="6" t="inlineStr">
        <is>
          <t>India</t>
        </is>
      </c>
      <c r="N176" s="20" t="n">
        <v>45502</v>
      </c>
      <c r="O176" s="4" t="n">
        <v>454</v>
      </c>
      <c r="P176" s="44" t="n">
        <v>1195</v>
      </c>
      <c r="Q176" s="6" t="n">
        <v>24</v>
      </c>
      <c r="R176" s="6" t="n">
        <v>16</v>
      </c>
      <c r="S176" s="6" t="n">
        <v>3</v>
      </c>
      <c r="T176" s="6" t="n">
        <v>850</v>
      </c>
    </row>
    <row r="177" ht="20.1" customHeight="1">
      <c r="A177" s="6" t="n">
        <v>176</v>
      </c>
      <c r="B177" s="4" t="inlineStr">
        <is>
          <t>Academic</t>
        </is>
      </c>
      <c r="C177" s="4" t="inlineStr">
        <is>
          <t>Edge</t>
        </is>
      </c>
      <c r="D177" s="10" t="n">
        <v>9789395764896</v>
      </c>
      <c r="E177" s="10" t="n">
        <v>9395764899</v>
      </c>
      <c r="F177" s="5" t="inlineStr">
        <is>
          <t>Pooja Prasanna</t>
        </is>
      </c>
      <c r="G177" s="4" t="inlineStr">
        <is>
          <t>Sociology</t>
        </is>
      </c>
      <c r="H177" s="6" t="inlineStr">
        <is>
          <t xml:space="preserve">Sociology covers the UPSC optional syllabus for the subject in its entirety and is designed to the meet the unique requirements of this examination. It will also be useful for those appearing for the State PSC examination with Sociology as their optional subject. 
Arranged meticulously, the book aids a comprehensive understanding of the subject for beginners and those with a background in the subject. The language used in the book is clear and simple, with complex concepts being explained with the help of real-life examples, case studies, and empirical data. The aspirants will find their preparation journey relatively easy with this book offering structured and progressive learning experience, complemented with discussions on contemporary issues. This specifically offers an edge to the aspirants with the ability to relate sociological theories and concepts, and their application to real-world situations. Each chapter also includes previous years’ UPSC questions for the aspirants to assess their readiness and to prepare for the examination effectively. 
Why should you choose this book? 
•	Meticulous arrangement aids structured and progressive learning 
•	Inclusion of Real-life examples, diagrams, case studies, &amp; empirical data 
•	Explains concepts &amp; theories in clear, concise &amp; lucid manner 
•	Discusses contemporary issues aiding application of sociological theories to real-life 
scenarios 
•	Distils &amp; presents the extensive teaching experience of the author </t>
        </is>
      </c>
      <c r="I177" s="6" t="inlineStr">
        <is>
          <t>With tailored teaching experience for UPSC Exam, Pooja Prasanna understands the unique challenges students face in this competitive exam. Through engaging classroom methods and student-centered approaches, she simplifies intricate sociological theories using clear explanations, real-world examples, and case studies. Her aim is to equip UPSC candidates with the necessary knowledge and analytical skills for the exam and to grasp vital societal dynamics. Holding a Master's degree in Sociology, she provides profound insights into key sociological concepts of the UPSC syllabus. Passionate about education and sociology, her textbook is an invaluable guide for aspirants, aiding their success and deepening societal understanding.</t>
        </is>
      </c>
      <c r="J177" s="4" t="n">
        <v>1</v>
      </c>
      <c r="K177" s="4" t="inlineStr">
        <is>
          <t>English</t>
        </is>
      </c>
      <c r="L177" s="4" t="inlineStr">
        <is>
          <t>PB</t>
        </is>
      </c>
      <c r="M177" s="6" t="inlineStr">
        <is>
          <t>India</t>
        </is>
      </c>
      <c r="N177" s="20" t="n">
        <v>45502</v>
      </c>
      <c r="O177" s="4" t="n">
        <v>432</v>
      </c>
      <c r="P177" s="44" t="n">
        <v>595</v>
      </c>
      <c r="Q177" s="6" t="n">
        <v>24</v>
      </c>
      <c r="R177" s="6" t="n">
        <v>16</v>
      </c>
      <c r="S177" s="6" t="n">
        <v>3</v>
      </c>
      <c r="T177" s="6" t="n">
        <v>500</v>
      </c>
    </row>
    <row r="178" ht="20.1" customHeight="1">
      <c r="A178" s="6" t="n">
        <v>177</v>
      </c>
      <c r="B178" s="4" t="inlineStr">
        <is>
          <t>Academic</t>
        </is>
      </c>
      <c r="C178" s="4" t="inlineStr">
        <is>
          <t>Edge</t>
        </is>
      </c>
      <c r="D178" s="10" t="n">
        <v>9789395764933</v>
      </c>
      <c r="E178" s="10" t="n">
        <v>9395764937</v>
      </c>
      <c r="F178" s="5" t="inlineStr">
        <is>
          <t>Mrityunjay Rai</t>
        </is>
      </c>
      <c r="G178" s="4" t="inlineStr">
        <is>
          <t>History of Ancient India</t>
        </is>
      </c>
      <c r="H178" s="6" t="inlineStr">
        <is>
          <t>History of Ancient India presents a comprehensive coverage of the subject for the civil services examination. Arranged meticulously, the chapters explain the different stages of the Indian civilisation lucidly with flowcharts and diagrams to aid understanding. Often considered a static subject, the book helps the aspirants in preparing for the ever-changing examination requirement that necessitates looking at the same historical facts in different perspectives and with diverse inter-relations. 
The book makes the subject accessible and aids retention of extensive historical data and information by contextualising the historical events with the overall socio-political and cultural framework of the time. Covering the entire expanse of Ancient History from the rise of the Mesopotamian civilisations to the fall of the Roman Empire, the chapters examine the nuances of the societies, their political structures, religious beliefs, technological advancements, and social norms. 
Why should you choose this book?
1.	Comprehensive coverage of the UPSC syllabus in an easy-to-understand format  
2.	Flowcharts, illustrations and diagrams aid learning and retention of information  
3.	Practice questions under each chapter help assess the examination readiness</t>
        </is>
      </c>
      <c r="I178" s="6" t="inlineStr">
        <is>
          <t xml:space="preserve">Mrityunjay Rai is a distinguished mentor for the UPSC aspirants and is associated with several reputed institutions. With an extensive teaching experience spanning over a decade, he is popularly known amongst the aspirants as ‘Bahubali Sir’. This book is a consolidation of his insights on the subject for the benefit of the civil services examination aspirants. </t>
        </is>
      </c>
      <c r="J178" s="4" t="n">
        <v>1</v>
      </c>
      <c r="K178" s="4" t="inlineStr">
        <is>
          <t>English</t>
        </is>
      </c>
      <c r="L178" s="4" t="inlineStr">
        <is>
          <t>PB</t>
        </is>
      </c>
      <c r="M178" s="6" t="inlineStr">
        <is>
          <t>India</t>
        </is>
      </c>
      <c r="N178" s="20" t="n">
        <v>45502</v>
      </c>
      <c r="O178" s="4" t="n">
        <v>276</v>
      </c>
      <c r="P178" s="44" t="n">
        <v>495</v>
      </c>
      <c r="Q178" s="6" t="n">
        <v>24</v>
      </c>
      <c r="R178" s="6" t="n">
        <v>16</v>
      </c>
      <c r="S178" s="6" t="n">
        <v>2</v>
      </c>
      <c r="T178" s="6" t="n">
        <v>350</v>
      </c>
    </row>
    <row r="179" ht="20.1" customHeight="1">
      <c r="A179" s="6" t="n">
        <v>178</v>
      </c>
      <c r="B179" s="4" t="inlineStr">
        <is>
          <t>Academic</t>
        </is>
      </c>
      <c r="C179" s="4" t="inlineStr">
        <is>
          <t>Edge</t>
        </is>
      </c>
      <c r="D179" s="10" t="n">
        <v>9788197413582</v>
      </c>
      <c r="E179" s="10" t="n">
        <v>8197413584</v>
      </c>
      <c r="F179" s="5" t="inlineStr">
        <is>
          <t>R Rajagopalan</t>
        </is>
      </c>
      <c r="G179" s="4" t="inlineStr">
        <is>
          <t>Rapid Revision Series: Environment, Ecology &amp; Disaster Management</t>
        </is>
      </c>
      <c r="H179" s="6" t="inlineStr">
        <is>
          <t>Why is Environment, Ecology &amp; Disaster Management important for the UPSC Mains Exam?
•	Average of 10 questions a year in the GS Papers
•	Average of 5 questions in GS III and 4 in GS I per year
•	Questions appear also in GS II and GS IV Papers
10 Great Benefits and Features of this Book
•	Ideal for Rapid Revision
•	Solved PYQs of 10 years
•	200+ Practice Questions with Answers
•	Stand-alone Book
•	Covers all the important topics
•	All the Questions Graded by Level of Difficulty
•	Follows Strategy
•	Fully Aligned with the UPSC Pattern
•	References to chapters of Rajagopalan’s Main Textbook
•	Number of Questions Aligned to the Priority of the Topic
•	Additional Material for Important Questions
•	Current Affairs on Blog Posts on IASEnvironmentEcology.blogspot.com</t>
        </is>
      </c>
      <c r="I179" s="6" t="inlineStr">
        <is>
          <t>The Author, Prof. R Rajagopalan 
•	Former Professor at IIT Madras.
•	Author of 25 books on environment for Civil Services Examination, schools, colleges, and the general public.</t>
        </is>
      </c>
      <c r="J179" s="4" t="n">
        <v>1</v>
      </c>
      <c r="K179" s="4" t="inlineStr">
        <is>
          <t>English</t>
        </is>
      </c>
      <c r="L179" s="4" t="inlineStr">
        <is>
          <t>PB</t>
        </is>
      </c>
      <c r="M179" s="6" t="inlineStr">
        <is>
          <t>India</t>
        </is>
      </c>
      <c r="N179" s="20" t="n">
        <v>45506</v>
      </c>
      <c r="O179" s="4" t="n">
        <v>256</v>
      </c>
      <c r="P179" s="44" t="n">
        <v>350</v>
      </c>
      <c r="Q179" s="6" t="n">
        <v>24</v>
      </c>
      <c r="R179" s="6" t="n">
        <v>16</v>
      </c>
      <c r="S179" s="6" t="n">
        <v>2.5</v>
      </c>
      <c r="T179" s="6" t="n">
        <v>350</v>
      </c>
    </row>
    <row r="180" ht="20.1" customHeight="1">
      <c r="A180" s="6" t="n">
        <v>179</v>
      </c>
      <c r="B180" s="4" t="inlineStr">
        <is>
          <t>Law</t>
        </is>
      </c>
      <c r="C180" s="4" t="inlineStr">
        <is>
          <t>OakBridge</t>
        </is>
      </c>
      <c r="D180" s="10" t="n">
        <v>9789395764773</v>
      </c>
      <c r="E180" s="10" t="n">
        <v>9395764775</v>
      </c>
      <c r="F180" s="5" t="inlineStr">
        <is>
          <t>Dr K K Khandelwal, IAS (R)</t>
        </is>
      </c>
      <c r="G180" s="4" t="inlineStr">
        <is>
          <t>Commentary on The Prohibition of Benami Property Transactions Act, 1988</t>
        </is>
      </c>
      <c r="H180" s="6" t="inlineStr">
        <is>
          <t>A comprehensive analysis delving into the principal and amended enactments, offering detailed insight into the significant changes introduced by the Benami Transactions (Prohibition) Amendment Act, 2016.
The book explains how the law has become more effective in combating benami transactions by meticulously examining each provision with support from judicial precedents and relevant rules, explaining legal intricacies in simple and clear language.
The author also provides valuable insights on the robust mechanism relating to the confiscation and management of benami properties, and the procedural framework for inquiry, adjudication, and appeal of cases.
This book is a valuable resource for practitioners, enforcement officers, judges, legislators, policy-makers, academicians, and research scholars.</t>
        </is>
      </c>
      <c r="I180" s="6"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engagements.</t>
        </is>
      </c>
      <c r="J180" s="4" t="n">
        <v>1</v>
      </c>
      <c r="K180" s="4" t="inlineStr">
        <is>
          <t>English</t>
        </is>
      </c>
      <c r="L180" s="4" t="inlineStr">
        <is>
          <t>HB</t>
        </is>
      </c>
      <c r="M180" s="6" t="inlineStr">
        <is>
          <t>India</t>
        </is>
      </c>
      <c r="N180" s="20" t="n">
        <v>45524</v>
      </c>
      <c r="O180" s="4" t="n">
        <v>1066</v>
      </c>
      <c r="P180" s="44" t="n">
        <v>2495</v>
      </c>
      <c r="Q180" s="6" t="n">
        <v>24</v>
      </c>
      <c r="R180" s="6" t="n">
        <v>18</v>
      </c>
      <c r="S180" s="6" t="n">
        <v>3</v>
      </c>
      <c r="T180" s="6" t="n">
        <v>1800</v>
      </c>
    </row>
    <row r="181" ht="20.1" customHeight="1">
      <c r="A181" s="6" t="n">
        <v>180</v>
      </c>
      <c r="B181" s="4" t="inlineStr">
        <is>
          <t>BGR</t>
        </is>
      </c>
      <c r="C181" s="4" t="inlineStr">
        <is>
          <t>OakBridge</t>
        </is>
      </c>
      <c r="D181" s="10" t="n">
        <v>9788197288371</v>
      </c>
      <c r="E181" s="10" t="n">
        <v>8197288372</v>
      </c>
      <c r="F181" s="5" t="inlineStr">
        <is>
          <t>Jatinder Singh</t>
        </is>
      </c>
      <c r="G181" s="4" t="inlineStr">
        <is>
          <t>Corporate Sustainability Heroes</t>
        </is>
      </c>
      <c r="H181" s="6" t="inlineStr">
        <is>
          <t>Corporate Sustainability Heroes delves deep into the inspiring stories of 15 exceptional organizations and individuals who are leading the charge in championing corporate sustainability initiatives.
These trailblazers, motivated by the firm belief that sustainability is essential for the well-being of both society and organizations, have made remarkable advancements in a variety of fields.
Through their dedicated efforts, they have demonstrated that meaningful change is not only possible but also begins with the actions of a single person.
Their journeys highlight a powerful message: change starts with one individual, and that individual could be someone like YOU.
Dive into this essential read to explore how visionary leadership can pave the way for a sustainable future, proving that profit and the planet can indeed go hand in hand.
Heroes:
Dr Sushma Paul Berlia, Apeejay Stya &amp; Svran Group
Mr Nand Kishore Aggarwal, Crystal Crop Protection Ltd
Mr Amit Burman, Dabur India Ltd
Mr Sharad Jaipuria, Ginni International Ltd
Mr Satish Pai, Hindalco Industries Ltd
Mr Virendra D Mhaiskar, IRB Infrastructure
Mr Vikrampati Singhania, J Organization
Dr Mahesh Gupta, Kent RO Systems Ltd
Mr Hemant Jain, KLJ Group
Mr Sanjeev Agrawal, MMG Group
Dr Lalit Khaitan, Radico Khaitan Ltd
Mr Anil Jain, Refex Group
Mr Sandip Somany, Somany Impresa Group
Mr Sunjay Kapur, Sona Comstar
Mr Dilip Shanghvi, Sun Pharma
Read less</t>
        </is>
      </c>
      <c r="I181" s="6" t="inlineStr">
        <is>
          <t>Jatinder Singh is a personal optimisation advisor, author, and proponent of new-age business strategies. With his unwavering commitment to sustainability, Jatinder empowers entrepreneurs and corporations to achieve impactful and lasting growth aligned with sustainable development goals. His guiding philosophy—the opposite of poverty is not wealth, but sustainable development—underscores his mission to embed sustainability at the core of societal and organisational progress. With a Law Degree, a Management Degree, and a Ph.D. in Business Management, Jatinder combines deep knowledge with practical insights to drive meaningful change in today's business world.</t>
        </is>
      </c>
      <c r="J181" s="4" t="n">
        <v>1</v>
      </c>
      <c r="K181" s="4" t="inlineStr">
        <is>
          <t>English</t>
        </is>
      </c>
      <c r="L181" s="4" t="inlineStr">
        <is>
          <t>PB</t>
        </is>
      </c>
      <c r="M181" s="6" t="inlineStr">
        <is>
          <t>India</t>
        </is>
      </c>
      <c r="N181" s="20" t="n">
        <v>45549</v>
      </c>
      <c r="O181" s="4" t="n">
        <v>272</v>
      </c>
      <c r="P181" s="44" t="n">
        <v>595</v>
      </c>
      <c r="Q181" s="6" t="n">
        <v>24</v>
      </c>
      <c r="R181" s="6" t="n">
        <v>18</v>
      </c>
      <c r="S181" s="6" t="n">
        <v>2.5</v>
      </c>
      <c r="T181" s="6" t="n">
        <v>450</v>
      </c>
    </row>
    <row r="182" ht="20.1" customHeight="1">
      <c r="A182" s="6" t="n">
        <v>181</v>
      </c>
      <c r="B182" s="4" t="inlineStr">
        <is>
          <t>Tax</t>
        </is>
      </c>
      <c r="C182" s="4" t="inlineStr">
        <is>
          <t>OakBridge</t>
        </is>
      </c>
      <c r="D182" s="10" t="n">
        <v>9788197413537</v>
      </c>
      <c r="E182" s="10" t="n">
        <v>8197413533</v>
      </c>
      <c r="F182" s="5" t="inlineStr">
        <is>
          <t>TG Suresh</t>
        </is>
      </c>
      <c r="G182" s="4" t="inlineStr">
        <is>
          <t>Capital Gains Tax Law and Practice</t>
        </is>
      </c>
      <c r="H182" s="6" t="inlineStr">
        <is>
          <t>Capital Gains Tax—Law and Practice is a comprehensive reference book on legal and practical aspects of short-term and long-term capital gains taxation under Chapter IV(E) of the Income-tax Act, 1961. This seventh edition is thoroughly revised and updated to reflect the amendments introduced by the Finance Act (No. 2), 2024. This book will offer immense value to tax professionals, enforcement officers, judicial officers, and researchers scholars.
Salient Features -
Discusses the provisions of Finance (No. 2) Act, 2024, with illustrations
Analyses judicial decisions in detail
Incorporates Notifications, Circulars and Schemes up to 31st August 2024
Focuses on provisions relating to shares, securities, and business restructuring transactions
Extensively covers Real estate transactions (incl. JDA)
Examines capital gains w.r.t. international transactions &amp; non-residents
Clarifies grey areas in the practice of capital gains tax through author’s incisive inputs
Read less</t>
        </is>
      </c>
      <c r="I182" s="6" t="inlineStr">
        <is>
          <t>T G Suresh has over 35 years of experience in direct tax, international tax, and foreign exchange laws. He has successfully represented clients before Assessing Officers, Commissioner of Income Tax (Appeals) [CIT(A)], and the Income Tax Appellate Tribunal (ITAT). He is a visiting faculty member at professional organizations like ICAI, ICSI, and ICMAI. He is recognised for his exceptional contributions to both the professional and academic spheres, leaving a lasting impact on the field of taxation and the future generation of finance professionals</t>
        </is>
      </c>
      <c r="J182" s="4" t="n">
        <v>7</v>
      </c>
      <c r="K182" s="4" t="inlineStr">
        <is>
          <t>English</t>
        </is>
      </c>
      <c r="L182" s="4" t="inlineStr">
        <is>
          <t>PB</t>
        </is>
      </c>
      <c r="M182" s="6" t="inlineStr">
        <is>
          <t>India</t>
        </is>
      </c>
      <c r="N182" s="20" t="n">
        <v>45553</v>
      </c>
      <c r="O182" s="4" t="n">
        <v>552</v>
      </c>
      <c r="P182" s="44" t="n">
        <v>995</v>
      </c>
      <c r="Q182" s="6" t="n">
        <v>24</v>
      </c>
      <c r="R182" s="6" t="n">
        <v>18</v>
      </c>
      <c r="S182" s="6" t="n">
        <v>2.5</v>
      </c>
      <c r="T182" s="6" t="n">
        <v>650</v>
      </c>
    </row>
    <row r="183" ht="20.1" customHeight="1">
      <c r="A183" s="6" t="n">
        <v>182</v>
      </c>
      <c r="B183" s="4" t="inlineStr">
        <is>
          <t>BGR</t>
        </is>
      </c>
      <c r="C183" s="4" t="inlineStr">
        <is>
          <t>Cursive</t>
        </is>
      </c>
      <c r="D183" s="10" t="n">
        <v>9789391032951</v>
      </c>
      <c r="E183" s="10" t="n">
        <v>9391032958</v>
      </c>
      <c r="F183" s="5" t="inlineStr">
        <is>
          <t>C A Alok Misra</t>
        </is>
      </c>
      <c r="G183" s="4" t="inlineStr">
        <is>
          <t>Balance Sheet of the Soul</t>
        </is>
      </c>
      <c r="H183" s="6" t="inlineStr">
        <is>
          <t>“Balance Sheet of The Soul“ by Alok Misra, is a story that encapsulates the essence of hard work, education, and the relentless pursuit of dreams. This book is a valuable addition to the works that are designed to inspire and uplift readers from all walks of life.
In this heartfelt memoir, I, Alok Misra, invite you to walk alongside me through the pivotal moments of my life. From the lessons learned at my family’s dining table to the entrepreneurial ventures that shaped my career, I hope my story inspires you to pursue your dreams with passion and perseverance. This book is a tribute to Mahavatar Babaji, Grihastha Yogi &amp; my ideal Sri Sri Lahiri Mahasaya, Swami Sri Yukteswar Giri Ji &amp; Gurudev Sri Sri Paramahansa Yogananda, my Grandparents, Parents, Parent-in-laws, Wife (Sunaina), and son (Anand).</t>
        </is>
      </c>
      <c r="I183" s="6" t="inlineStr">
        <is>
          <t>CA. Alok Misra, a distinguished professional with over 2 decades of expertise, is the esteemed founder and managing partner of Alok Misra &amp; Co., Chartered Accountants. His comprehensive practice spans across diverse domains, specializing in taxation, corporate laws, audit, advisory, FCRA, and more. Alok Misra holds the esteemed title of a fellow member of the Institute of Chartered Accountants of India (ICAI), showcasing his commitment to excellence. Additionally, he is also a Company Secretary from the Institute of Companies Secretaries of India and a Certified Information System Auditor from ICAI.Throughout his illustrious career, Alok has been a driving force in the realms of corporate governance, tax advisory, and audit &amp; assurance services. Alok Misra is also recognized as the visionary promoter of "Vanprastha Resorts," a heaven of Yoga nestled in the Himalayas.</t>
        </is>
      </c>
      <c r="J183" s="4" t="n">
        <v>1</v>
      </c>
      <c r="K183" s="4" t="inlineStr">
        <is>
          <t>English</t>
        </is>
      </c>
      <c r="L183" s="4" t="inlineStr">
        <is>
          <t>PB</t>
        </is>
      </c>
      <c r="M183" s="6" t="inlineStr">
        <is>
          <t>India</t>
        </is>
      </c>
      <c r="N183" s="20" t="n">
        <v>45534</v>
      </c>
      <c r="O183" s="4" t="n">
        <v>235</v>
      </c>
      <c r="P183" s="44" t="n">
        <v>495</v>
      </c>
      <c r="Q183" s="6" t="n">
        <v>24</v>
      </c>
      <c r="R183" s="6" t="n">
        <v>18</v>
      </c>
      <c r="S183" s="6" t="n">
        <v>2.5</v>
      </c>
      <c r="T183" s="6" t="n">
        <v>500</v>
      </c>
    </row>
    <row r="184" ht="20.1" customHeight="1">
      <c r="A184" s="6" t="n">
        <v>183</v>
      </c>
      <c r="B184" s="4" t="inlineStr">
        <is>
          <t>Law</t>
        </is>
      </c>
      <c r="C184" s="4" t="inlineStr">
        <is>
          <t>OakBridge</t>
        </is>
      </c>
      <c r="D184" s="10" t="n">
        <v>9789395764858</v>
      </c>
      <c r="E184" s="10" t="n">
        <v>9395764856</v>
      </c>
      <c r="F184" s="5" t="inlineStr">
        <is>
          <t>Prof (Dr) Aditya Tomar, Dr Joshua Aston, Mini Srivastava, Rupendra Singh</t>
        </is>
      </c>
      <c r="G184" s="4" t="inlineStr">
        <is>
          <t>Handbook on Comparative IPR Law Technology Law and Emerging Legal Domains</t>
        </is>
      </c>
      <c r="H184" s="6" t="inlineStr">
        <is>
          <t>Offers readers an in-depth understanding of various aspects of IPR law in relation to the shifting paradigm with the emergence of technology and AI.
Delves into how the conventional understanding of IPR has developed over time and led to an inseparable union with technology.
Highlights the progression and integration of these fields, demonstrating how they have collectively shaped the modern legal landscape.
Also explores the realms of Artificial Intelligence and Cyber Laws, with a particular focus on data privacy regulations.
Equips legal practitioners, scholars, and enthusiasts with the knowledge necessary to address the challenges and opportunities presented by technological advancements.</t>
        </is>
      </c>
      <c r="I184" s="6" t="inlineStr">
        <is>
          <t>Professor (Dr) Aditya Tomer is the Additional Director and Joint Head of Amity Law School at Amity University's Noida campus. His expertise includes Right to Information, Arbitration and Mediation, Human Rights, and Business Law. Dr Tomer has authored over 35 publications and supervised numerous research projects leading to the award of PhDs in Law and LLM.
Dr Joshua Aston is the Associate Dean of Law at Edith Cowan University, Australia. He is also the Chair of the University Students’ Appeal Committee and an Adjunct Associate Professor of Law at Amity Law School, Amity University, Noida, India.
Ms Mini Srivastava is an Assistant Professor at Amity Law School, Noida, specializing in Intellectual Property Law and Information Technology Law. She has over 20 publications in SCOPUS, WoS indexed, and UGC Care list journals.
Mr Rupendra Singh is an Assistant Professor at Amity Law School, Noida specializing in Corporate Law. He has also practiced law at various fora, including the Supreme Court of India and other subordinate courts and commissions in Delhi.</t>
        </is>
      </c>
      <c r="J184" s="4" t="n">
        <v>1</v>
      </c>
      <c r="K184" s="4" t="inlineStr">
        <is>
          <t>English</t>
        </is>
      </c>
      <c r="L184" s="4" t="inlineStr">
        <is>
          <t>HB</t>
        </is>
      </c>
      <c r="M184" s="6" t="inlineStr">
        <is>
          <t>India</t>
        </is>
      </c>
      <c r="N184" s="20" t="n">
        <v>45555</v>
      </c>
      <c r="O184" s="4" t="n">
        <v>414</v>
      </c>
      <c r="P184" s="44" t="n">
        <v>1050</v>
      </c>
      <c r="Q184" s="6" t="n">
        <v>24</v>
      </c>
      <c r="R184" s="6" t="n">
        <v>18</v>
      </c>
      <c r="S184" s="6" t="n">
        <v>2.5</v>
      </c>
      <c r="T184" s="6" t="n">
        <v>900</v>
      </c>
    </row>
    <row r="185" ht="20.1" customHeight="1">
      <c r="A185" s="6" t="n">
        <v>184</v>
      </c>
      <c r="B185" s="4" t="inlineStr">
        <is>
          <t>Law</t>
        </is>
      </c>
      <c r="C185" s="4" t="inlineStr">
        <is>
          <t>OakBridge</t>
        </is>
      </c>
      <c r="D185" s="10" t="n">
        <v>9788197939228</v>
      </c>
      <c r="E185" s="10" t="n">
        <v>8197939225</v>
      </c>
      <c r="F185" s="5" t="inlineStr">
        <is>
          <t>Prof (Dr) Aditya Tomar, Dr Joshua Aston, Mini Srivastava, Rupendra Singh</t>
        </is>
      </c>
      <c r="G185" s="4" t="inlineStr">
        <is>
          <t>Handbook on Comparative IPR Law Technology Law and Emerging Legal Domains</t>
        </is>
      </c>
      <c r="H185" s="6" t="inlineStr">
        <is>
          <t>Offers readers an in-depth understanding of various aspects of IPR law in relation to the shifting paradigm with the emergence of technology and AI.
Delves into how the conventional understanding of IPR has developed over time and led to an inseparable union with technology.
Highlights the progression and integration of these fields, demonstrating how they have collectively shaped the modern legal landscape.
Also explores the realms of Artificial Intelligence and Cyber Laws, with a particular focus on data privacy regulations.
Equips legal practitioners, scholars, and enthusiasts with the knowledge necessary to address the challenges and opportunities presented by technological advancements.</t>
        </is>
      </c>
      <c r="I185" s="6" t="inlineStr">
        <is>
          <t>Professor (Dr) Aditya Tomer is the Additional Director and Joint Head of Amity Law School at Amity University's Noida campus. His expertise includes Right to Information, Arbitration and Mediation, Human Rights, and Business Law. Dr Tomer has authored over 35 publications and supervised numerous research projects leading to the award of PhDs in Law and LLM.
Dr Joshua Aston is the Associate Dean of Law at Edith Cowan University, Australia. He is also the Chair of the University Students’ Appeal Committee and an Adjunct Associate Professor of Law at Amity Law School, Amity University, Noida, India.
Ms Mini Srivastava is an Assistant Professor at Amity Law School, Noida, specializing in Intellectual Property Law and Information Technology Law. She has over 20 publications in SCOPUS, WoS indexed, and UGC Care list journals.
Mr Rupendra Singh is an Assistant Professor at Amity Law School, Noida specializing in Corporate Law. He has also practiced law at various fora, including the Supreme Court of India and other subordinate courts and commissions in Delhi.</t>
        </is>
      </c>
      <c r="J185" s="4" t="n">
        <v>1</v>
      </c>
      <c r="K185" s="4" t="inlineStr">
        <is>
          <t>English</t>
        </is>
      </c>
      <c r="L185" s="4" t="inlineStr">
        <is>
          <t>PB</t>
        </is>
      </c>
      <c r="M185" s="6" t="inlineStr">
        <is>
          <t>India</t>
        </is>
      </c>
      <c r="N185" s="20" t="n">
        <v>45555</v>
      </c>
      <c r="O185" s="4" t="n">
        <v>414</v>
      </c>
      <c r="P185" s="44" t="n">
        <v>895</v>
      </c>
      <c r="Q185" s="6" t="n">
        <v>24</v>
      </c>
      <c r="R185" s="6" t="n">
        <v>18</v>
      </c>
      <c r="S185" s="6" t="n">
        <v>2.5</v>
      </c>
      <c r="T185" s="6" t="n">
        <v>650</v>
      </c>
    </row>
    <row r="186" ht="20.1" customHeight="1">
      <c r="A186" s="6" t="n">
        <v>185</v>
      </c>
      <c r="B186" s="4" t="inlineStr">
        <is>
          <t>Law</t>
        </is>
      </c>
      <c r="C186" s="4" t="inlineStr">
        <is>
          <t>OakBridge</t>
        </is>
      </c>
      <c r="D186" s="10" t="n">
        <v>9788197939273</v>
      </c>
      <c r="E186" s="10" t="n">
        <v>8197939276</v>
      </c>
      <c r="F186" s="5" t="inlineStr">
        <is>
          <t xml:space="preserve">Dr K K Khandelwal </t>
        </is>
      </c>
      <c r="G186" s="4" t="inlineStr">
        <is>
          <t>Bharatiya Sakshya Adhiniyam, 2023: The New Era of Evidence Law</t>
        </is>
      </c>
      <c r="H186" s="6" t="inlineStr">
        <is>
          <t>Bharatiya Sakshya Adhiniyam, 2023: The New Era of Evidence Law presents a comprehensive analysis of the intricacies of the Bharatiya Sakshya Adhiniyam, 2023, which has replaced the Indian Evidence Act, 1872. This section-wise commentary systematically dissects each new provision highlighting their practical implications. Each provision is supported with judicial precedents and case studies based on hypothetical scenarios, explaining the legal nuances in a
lucid language.
The Bharatiya Sakshya Adhiniyam, 2023 (BSA) marks a significant transformation in the Indian legal landscape. This book offers a clear and practical approach, making it an essential resource for practitioners, enforcement officers, judges, academicians, and research scholars.</t>
        </is>
      </c>
      <c r="I186" s="6"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engagements.</t>
        </is>
      </c>
      <c r="J186" s="4" t="n">
        <v>1</v>
      </c>
      <c r="K186" s="4" t="inlineStr">
        <is>
          <t>English</t>
        </is>
      </c>
      <c r="L186" s="4" t="inlineStr">
        <is>
          <t>HB</t>
        </is>
      </c>
      <c r="M186" s="6" t="inlineStr">
        <is>
          <t>India</t>
        </is>
      </c>
      <c r="N186" s="20" t="n">
        <v>45564</v>
      </c>
      <c r="O186" s="4" t="n">
        <v>826</v>
      </c>
      <c r="P186" s="44" t="n">
        <v>1995</v>
      </c>
      <c r="Q186" s="6" t="n">
        <v>24</v>
      </c>
      <c r="R186" s="6" t="n">
        <v>18</v>
      </c>
      <c r="S186" s="6" t="n">
        <v>2.5</v>
      </c>
      <c r="T186" s="6" t="n">
        <v>1500</v>
      </c>
    </row>
    <row r="187" ht="20.1" customHeight="1">
      <c r="A187" s="6" t="n">
        <v>186</v>
      </c>
      <c r="B187" s="4" t="inlineStr">
        <is>
          <t>Law</t>
        </is>
      </c>
      <c r="C187" s="4" t="inlineStr">
        <is>
          <t>OakBridge</t>
        </is>
      </c>
      <c r="D187" s="10" t="n">
        <v>9788197939297</v>
      </c>
      <c r="E187" s="10" t="n">
        <v>8197939292</v>
      </c>
      <c r="F187" s="5" t="inlineStr">
        <is>
          <t>Shruti Bedi</t>
        </is>
      </c>
      <c r="G187" s="4" t="inlineStr">
        <is>
          <t>Artificial Intelligence and Constitutionalism: The Challenges in Law</t>
        </is>
      </c>
      <c r="H187" s="6" t="inlineStr">
        <is>
          <t>The volume explores the significant impact of AI within the legal sphere. It is organized into two main sections: ‘Interplay of AI and Constitutionalism,’ which offers comprehensive discussions on broader principles, and ‘Critical Legal Concerns,’ which focuses on specific practical themes. Various authors contribute to these sections, covering a diverse array of topics related to AI. This structure keeps readers engaged and informed about the complexities AI introduces to the legal landscape.
The authors analyze existing legal frameworks and suggest innovative strategies that align with constitutional values, ensuring the responsible and ethical use of AI technologies. Contributions from scholars in the United States and Canada enhance this discussion, offering comparative insights that emphasize both common challenges and distinct contextual factors.</t>
        </is>
      </c>
      <c r="I187" s="6" t="inlineStr">
        <is>
          <t>Prof. Dr. Shruti Bedi
Sidharth Luthra
Saurabh Kirpal
Prof. Dr. Yogesh Pratap Singh
Prof. Dr. Prabhash Ranjan
Major Navdeep Singh
Franklin D. Rosenblatt
Rohas Nagpal
Taylor Herring White
Aditya S. Puar
Sébastien Lafrance
Ameen Jauhar
Gokul Narayan
Dr. Ivneet Kaur Walia
Arjun Adrian D’Souza
Ira K. Rushing
Mihir Joshi
Dr. Ashit Kumar Srivastava
Arti Gupta
Aditi Shreya</t>
        </is>
      </c>
      <c r="J187" s="4" t="n">
        <v>1</v>
      </c>
      <c r="K187" s="4" t="inlineStr">
        <is>
          <t>English</t>
        </is>
      </c>
      <c r="L187" s="4" t="inlineStr">
        <is>
          <t>PB</t>
        </is>
      </c>
      <c r="M187" s="6" t="inlineStr">
        <is>
          <t>India</t>
        </is>
      </c>
      <c r="N187" s="20" t="n">
        <v>45565</v>
      </c>
      <c r="O187" s="4" t="n">
        <v>212</v>
      </c>
      <c r="P187" s="44" t="n">
        <v>695</v>
      </c>
      <c r="Q187" s="6" t="n">
        <v>24</v>
      </c>
      <c r="R187" s="6" t="n">
        <v>18</v>
      </c>
      <c r="S187" s="6" t="n">
        <v>2.5</v>
      </c>
      <c r="T187" s="6" t="n">
        <v>350</v>
      </c>
    </row>
    <row r="188" ht="20.1" customHeight="1">
      <c r="A188" s="6" t="n">
        <v>187</v>
      </c>
      <c r="B188" s="4" t="inlineStr">
        <is>
          <t>Tax</t>
        </is>
      </c>
      <c r="C188" s="4" t="inlineStr">
        <is>
          <t>OakBridge</t>
        </is>
      </c>
      <c r="D188" s="10" t="n">
        <v>9789395764926</v>
      </c>
      <c r="E188" s="10" t="n">
        <v>9395764929</v>
      </c>
      <c r="F188" s="5" t="inlineStr">
        <is>
          <t>P V Srinivasan</t>
        </is>
      </c>
      <c r="G188" s="4" t="inlineStr">
        <is>
          <t>Capital Taxation Law and Practice</t>
        </is>
      </c>
      <c r="H188" s="6" t="inlineStr">
        <is>
          <t>Capital Taxation: Law and Practice is an exhaustive commentary on the subject, offering an in-depth analysis of the concept and regulatory framework governing the taxation of capital in all its forms in India and other jurisdictions across the globe.
Taxation of capital is older than the taxation of income. While the income of a fiscal year is often seen as an increase in wealth, capital taxation has sparked more controversy than other types of tax. Meagre revenue yields, the subjective base of the levy, unpredictability of the event of taxation are a few reasons for its repeated repeal and reintroduction. This is in addition to the traditional concerns of tax avoidance and a plethora of exemptions that are more pronounced in capital taxation. Nevertheless, several countries have capital taxation currently in force.
This book is divided into two parts, Part A deals with the genres of capital taxation, their salient features, the history and evolution of wealth transfer tax, and the design principles; and Part B covers capital taxation regimes in some of the other countries. Policymakers, academicians, tax practitioners, and high net worth individuals are sure to find the book handy.</t>
        </is>
      </c>
      <c r="I188" s="6" t="inlineStr">
        <is>
          <t>P V Srinivasan is a Corporate Advisor on Global Tax and Corporate Laws. He served as the Head of Corporate Tax in Wipro Limited, Bangalore for 18 years and has 40 years of
hands-on experience in global corporate tax compliance including the US, Europe, India and Asia-Pacific, Latin America and Africa, addressing structuring requirements, cross-border business re-organizations, transfer pricing, IPRs taxation, employees’ taxation, indirect taxes and EU VAT, social security taxes, etc. He has secured landmark judgements on tax matters from courts in India and overseas. He has successfully represented and concluded tax assessments in the USA, Germany, Japan, the UK etc. He has rendered advocacy to Central and State Governments in India and Governments of foreign countries on tax and corporate regulatory matters.</t>
        </is>
      </c>
      <c r="J188" s="4" t="n">
        <v>1</v>
      </c>
      <c r="K188" s="4" t="inlineStr">
        <is>
          <t>English</t>
        </is>
      </c>
      <c r="L188" s="4" t="inlineStr">
        <is>
          <t>HB</t>
        </is>
      </c>
      <c r="M188" s="6" t="inlineStr">
        <is>
          <t>India</t>
        </is>
      </c>
      <c r="N188" s="20" t="n">
        <v>45564</v>
      </c>
      <c r="O188" s="4" t="n">
        <v>396</v>
      </c>
      <c r="P188" s="44" t="n">
        <v>1495</v>
      </c>
      <c r="Q188" s="6" t="n">
        <v>24</v>
      </c>
      <c r="R188" s="6" t="n">
        <v>18</v>
      </c>
      <c r="S188" s="6" t="n">
        <v>2.5</v>
      </c>
      <c r="T188" s="6" t="n">
        <v>850</v>
      </c>
    </row>
    <row r="189" ht="20.1" customHeight="1">
      <c r="A189" s="6" t="n">
        <v>188</v>
      </c>
      <c r="B189" s="4" t="inlineStr">
        <is>
          <t>Law</t>
        </is>
      </c>
      <c r="C189" s="4" t="inlineStr">
        <is>
          <t>OakBridge</t>
        </is>
      </c>
      <c r="D189" s="10" t="n">
        <v>9788197288333</v>
      </c>
      <c r="E189" s="10" t="inlineStr">
        <is>
          <t>819728833X</t>
        </is>
      </c>
      <c r="F189" s="5" t="inlineStr">
        <is>
          <t>V Sudhish Pai</t>
        </is>
      </c>
      <c r="G189" s="4" t="inlineStr">
        <is>
          <t>75 Years of the Constitution - Supreme Court's Role in Promoting Constitutionalism</t>
        </is>
      </c>
      <c r="H189" s="6" t="inlineStr">
        <is>
          <t>75 Years of the Constitution - Supreme Court's Role in Promoting Constitutionalism marks the commemoration of 75 years of our Constitution and the Supreme Court. It offers a captivating account of the journey of the foundational document of the world’s largest democracy. It explores the Constitution’s evolution, its salient features and provisions, and the Supreme Court’s role in expounding its true meaning and intent, including the principles applied in its interpretation.
The book showcases the role and contribution of the Court in endeavouring to make the constitutional vision a reality, fostering a constitutional culture, and enforcing checks and balances within the constitutional framework, as well as examining some of the infirmities in its judgments. A critical appraisal of the Court’s work is essential for presenting a true and coherent picture of the law.
The book is structured in three parts, offering not only a theoretical jurisprudential setting but also its application to concrete cases - the judgments and the light banter - the trivia and anecdotes - which add a certain lustre.</t>
        </is>
      </c>
      <c r="I189" s="6" t="inlineStr">
        <is>
          <t>V Sudhish Pai, Senior Advocate, is a distinguished lawyer and jurist and an acclaimed author specializing in Constitutional Law and Administrative Law, with over forty years at the Bar. He was
Visiting Chair Professor, Asutosh Mookerjee Chair at the WBNUJS, Kolkata and a resource person at the National Judicial Academy, Bhopal for continuing legal education for judges. His contribution to academics, particularly in the area of critical constitutional analysis, has been substantial and significant. Quoted by the Supreme Court and High Courts, he is recognized as a legal philosopher for his profound learning and for enhancing the reputation of the Bar as a learned profession.</t>
        </is>
      </c>
      <c r="J189" s="4" t="n">
        <v>1</v>
      </c>
      <c r="K189" s="4" t="inlineStr">
        <is>
          <t>English</t>
        </is>
      </c>
      <c r="L189" s="4" t="inlineStr">
        <is>
          <t>HB</t>
        </is>
      </c>
      <c r="M189" s="6" t="inlineStr">
        <is>
          <t>India</t>
        </is>
      </c>
      <c r="N189" s="20" t="n">
        <v>45635</v>
      </c>
      <c r="O189" s="4" t="n">
        <v>324</v>
      </c>
      <c r="P189" s="44" t="n">
        <v>995</v>
      </c>
      <c r="Q189" s="6" t="n">
        <v>24</v>
      </c>
      <c r="R189" s="6" t="n">
        <v>18</v>
      </c>
      <c r="S189" s="6" t="n">
        <v>2.5</v>
      </c>
      <c r="T189" s="6" t="n">
        <v>840</v>
      </c>
    </row>
    <row r="190" ht="20.1" customHeight="1">
      <c r="A190" s="6" t="n">
        <v>189</v>
      </c>
      <c r="B190" s="4" t="inlineStr">
        <is>
          <t>Law</t>
        </is>
      </c>
      <c r="C190" s="4" t="inlineStr">
        <is>
          <t>OakBridge</t>
        </is>
      </c>
      <c r="D190" s="10" t="n">
        <v>9788197413599</v>
      </c>
      <c r="E190" s="10" t="n">
        <v>8197413592</v>
      </c>
      <c r="F190" s="5" t="inlineStr">
        <is>
          <t>Adarsh Ramanujan</t>
        </is>
      </c>
      <c r="G190" s="4" t="inlineStr">
        <is>
          <t>Ramanujan’s Patent Law</t>
        </is>
      </c>
      <c r="H190" s="6" t="inlineStr">
        <is>
          <t>Ramanujan’s Patent Law is a comprehensive and analytical commentary on the Patent Law in India. The commentary traces the legislative history of the Patents Act and the judicial precedents that have shaped the law. Written in a lucid language, the author also  delves into a comparative analysis with the legal developments in other jurisdictions, including the UK, the USA, and Canada to provide a holistic view of the law. The commentary is aimed to make the patent law accessible and easy to understand, while discussing grey areas. The readers will benefit from the author’s perspectives and views on the law. The commentary will be valuable to the practitioners, Judges, Patent Agents, Academicians and scholars.</t>
        </is>
      </c>
      <c r="I190" s="6" t="inlineStr">
        <is>
          <t>Adarsh Ramanujan is a patent agent and an independent litigation attorney with a broad counsel practice, having represented  clients across sectors ranging from pharmaceuticals and biotech to textiles and  telecom. Throughout his career, Adarsh has  consistently engaged with cutting-edge  legal issues, particularly in IP law. He has  argued and assisted in significant cases before the Supreme Court of India, multiple  High Courts, and specialised tribunals. His  career is distinguished by his extensive  experience in international disputes, which is bolstered by a three-year tenure in Geneva, Switzerland. His notable contributions to patent law and IP  jurisprudence in India have made him a  sought-after litigator in these domains.</t>
        </is>
      </c>
      <c r="J190" s="4" t="n">
        <v>1</v>
      </c>
      <c r="K190" s="4" t="inlineStr">
        <is>
          <t>English</t>
        </is>
      </c>
      <c r="L190" s="4" t="inlineStr">
        <is>
          <t>HB</t>
        </is>
      </c>
      <c r="M190" s="6" t="inlineStr">
        <is>
          <t>India</t>
        </is>
      </c>
      <c r="N190" s="20" t="n">
        <v>45635</v>
      </c>
      <c r="O190" s="4" t="n">
        <v>1084</v>
      </c>
      <c r="P190" s="44" t="n">
        <v>2995</v>
      </c>
      <c r="Q190" s="6" t="n">
        <v>24</v>
      </c>
      <c r="R190" s="6" t="n">
        <v>18</v>
      </c>
      <c r="S190" s="6" t="n">
        <v>4</v>
      </c>
      <c r="T190" s="6" t="n">
        <v>1880</v>
      </c>
    </row>
    <row r="191" ht="20.1" customHeight="1">
      <c r="A191" s="6" t="n">
        <v>190</v>
      </c>
      <c r="B191" s="4" t="inlineStr">
        <is>
          <t>Law</t>
        </is>
      </c>
      <c r="C191" s="4" t="inlineStr">
        <is>
          <t>OakBridge</t>
        </is>
      </c>
      <c r="D191" s="10" t="n">
        <v>9789389176919</v>
      </c>
      <c r="E191" s="10" t="n">
        <v>9389176913</v>
      </c>
      <c r="F191" s="5" t="inlineStr">
        <is>
          <t>Gauri Grover</t>
        </is>
      </c>
      <c r="G191" s="4" t="inlineStr">
        <is>
          <t>The Unyielding Judge: The Life and Legacy of Justice A.N. Grover</t>
        </is>
      </c>
      <c r="H191" s="6" t="inlineStr">
        <is>
          <t>The Unyielding Judge: The Life and Legacy of Justice A.N. Grover brings to life the many dimensions of Justice A.N. Grover as a person and as a Judge of the Supreme Court. Gauri Grover, granddaughter of Justice Grover and the author of the book, has penned the narrative as a love letter to her grandfather and not merely as a chronicle of his  life and career. The author takes us through the early years and education that shaped Justice Grover as a human being, followed by his distinguished career as a lawyer and Judge. His participation in the evolution of the Basic Structure Doctrine, and the inglorious supersession that followed thereafter have been dealt in detail.  Justice Grover’s contributions to the society extended well beyond his role as a Judge, as he played a significant role in the realms of education and press rights as the Chairman of  the DPS Society and the Press Council of India. The book is a recounting of a person and a life that was enthused with conviction, a sense of duty, and a commitment to integrity.</t>
        </is>
      </c>
      <c r="I191" s="6" t="inlineStr">
        <is>
          <t>Gauri Grover is a dedicated legal professional practising in the  Delhi High Court, specializing in civil, criminal, and  humanitarian cases. Her work reflects her commitment to  justice, with a focus on addressing pressing societal issues.  Beyond her legal pursuits, Gauri is a passionate golfer, finding joy and discipline in the sport. She is deeply involved in theatre, showcasing her creative flair, and designs exquisite costume jewellery, blending artistry with craftsmanship. A fervent activist, she tirelessly champions justice-oriented principles, advocating for fairness and  equity. Gauri’s multifaceted personality combines her legal acumen with artistic pursuits and an unyielding dedication to social change.</t>
        </is>
      </c>
      <c r="J191" s="4" t="n">
        <v>1</v>
      </c>
      <c r="K191" s="4" t="inlineStr">
        <is>
          <t>English</t>
        </is>
      </c>
      <c r="L191" s="4" t="inlineStr">
        <is>
          <t>HB</t>
        </is>
      </c>
      <c r="M191" s="6" t="inlineStr">
        <is>
          <t>India</t>
        </is>
      </c>
      <c r="N191" s="20" t="n">
        <v>45647</v>
      </c>
      <c r="O191" s="4" t="n">
        <v>250</v>
      </c>
      <c r="P191" s="44" t="n">
        <v>795</v>
      </c>
      <c r="Q191" s="6" t="n">
        <v>24</v>
      </c>
      <c r="R191" s="6" t="n">
        <v>18</v>
      </c>
      <c r="S191" s="6" t="n">
        <v>2.5</v>
      </c>
      <c r="T191" s="6" t="n">
        <v>460</v>
      </c>
    </row>
    <row r="192" ht="20.1" customHeight="1">
      <c r="A192" s="6" t="n">
        <v>191</v>
      </c>
      <c r="B192" s="4" t="inlineStr">
        <is>
          <t>Academic</t>
        </is>
      </c>
      <c r="C192" s="4" t="inlineStr">
        <is>
          <t>Edge</t>
        </is>
      </c>
      <c r="D192" s="10" t="n">
        <v>9789389176759</v>
      </c>
      <c r="E192" s="10" t="n">
        <v>9389176751</v>
      </c>
      <c r="F192" s="5" t="inlineStr">
        <is>
          <t>Dr Farah Shoaib</t>
        </is>
      </c>
      <c r="G192" s="4" t="inlineStr">
        <is>
          <t>UGC-NET Solved PYQs on Psychology</t>
        </is>
      </c>
      <c r="H192" s="6" t="inlineStr">
        <is>
          <t>UGC-NET Solved PYQs on Psychology is a useful tool in the preparatory kit for the aspirants appearing for competitive examinations. The uniqueness of this book lies in the careful arrangement and presentation of previous year questions under the units prescribed in the syllabus on Psychology. Each chapter in the book is dedicated to one unit. Within the chapters as well, the questions are furthered categorised under different themes enabling the aspirants to cover the syllabus fully. The book covers questions based on the latest UGC-NET Papers for a decade, ensuring that the aspirants get a full-range of questions to practice with.
Why should you choose this book?
•	Covers over 1500+ questions on the subject.
•	Questions arranged unit-wise offering ease of revision.
•	Explanations for questions aids conceptual clarity and better retention.
•	Unique structure and arrangement of the questions ensures success in examination.
•	Author’s extensive experience is reflected in the easy language used in explanations.</t>
        </is>
      </c>
      <c r="I192" s="6" t="inlineStr">
        <is>
          <t>Dr Farah Shoaib is an Assistant Professor of Psychology at Integral University. With a strong passion for teaching, she has a proven track record of excellence, having previously prepared students for the NET/JRF Psychology examinations. Many of her students successfully qualified for both NET and JRF on their first attempt, and are now pursuing their PhDs at prestigious institutions like IITs and Central Universities.
Dr Farah actively provides free learning resources and updates through her Telegram channel, "NET/JRF Psychology by Dr Farah," and her YouTube channel, "GyaniIndians." These platforms extend her educational reach, allowing her to support a broader audience of psychology students and enthusiasts.</t>
        </is>
      </c>
      <c r="J192" s="4" t="n">
        <v>1</v>
      </c>
      <c r="K192" s="4" t="inlineStr">
        <is>
          <t>English</t>
        </is>
      </c>
      <c r="L192" s="4" t="inlineStr">
        <is>
          <t>PB</t>
        </is>
      </c>
      <c r="M192" s="6" t="inlineStr">
        <is>
          <t>India</t>
        </is>
      </c>
      <c r="N192" s="20" t="n">
        <v>45647</v>
      </c>
      <c r="O192" s="4" t="n">
        <v>566</v>
      </c>
      <c r="P192" s="44" t="n">
        <v>595</v>
      </c>
      <c r="Q192" s="6" t="n">
        <v>24</v>
      </c>
      <c r="R192" s="6" t="n">
        <v>18</v>
      </c>
      <c r="S192" s="6" t="n">
        <v>3</v>
      </c>
      <c r="T192" s="6" t="n">
        <v>850</v>
      </c>
    </row>
    <row r="193" ht="20.1" customHeight="1">
      <c r="A193" s="6" t="n">
        <v>192</v>
      </c>
      <c r="B193" s="4" t="inlineStr">
        <is>
          <t>Law</t>
        </is>
      </c>
      <c r="C193" s="4" t="inlineStr">
        <is>
          <t>OakBridge</t>
        </is>
      </c>
      <c r="D193" s="10" t="n">
        <v>9788198348838</v>
      </c>
      <c r="E193" s="10" t="n">
        <v>8198348832</v>
      </c>
      <c r="F193" s="5" t="inlineStr">
        <is>
          <t>K K Khandelwal</t>
        </is>
      </c>
      <c r="G193" s="4" t="inlineStr">
        <is>
          <t>A Treatise and Commentary on The Prevention of Money Laundering Act, 2002 (Set of 2 Volumes)</t>
        </is>
      </c>
      <c r="H193" s="6" t="inlineStr">
        <is>
          <t>A Treatise and Commentary on The Prevention of Money Laundering Act, 2002 presents a comprehensive section-wise examination of the law governing the offence of money laundering in India. The commentary covers the author’s incisive analysis of the subject built on judicial precedents and a meticulous understanding of the legislative text. Delving into key concepts and frameworks  that cut across different legislation, the commentary facilitates a holistic  understanding of this intricate law and offers practical insights. It exhaustively  discusses and demystifies various aspects of the Prevention of Money Laundering Act (PMLA), including investigation processes; the definition and handling of proceeds of crime; definitions and legal interpretations of money laundering offences; procedures for provisional attachment; protocols for search and seizure; arrest procedures; the application of the reverse burden of 
proof; jurisdiction and procedural norms for Special Courts; cognizance and bail of offences; requirements for summons and document production; and the evaluation of proportionality in punishments relative to the nature of scheduled offences.
The commentary will serve as a valuable guide for practitioners, judges, enforcement officers, scholars and students.</t>
        </is>
      </c>
      <c r="I193" s="6"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engagements.</t>
        </is>
      </c>
      <c r="J193" s="4" t="n">
        <v>1</v>
      </c>
      <c r="K193" s="4" t="inlineStr">
        <is>
          <t>English</t>
        </is>
      </c>
      <c r="L193" s="4" t="inlineStr">
        <is>
          <t>HB</t>
        </is>
      </c>
      <c r="M193" s="6" t="inlineStr">
        <is>
          <t>India</t>
        </is>
      </c>
      <c r="N193" s="20" t="n">
        <v>45698</v>
      </c>
      <c r="O193" s="4" t="n">
        <v>2028</v>
      </c>
      <c r="P193" s="44" t="n">
        <v>4495</v>
      </c>
      <c r="Q193" s="6" t="n">
        <v>24</v>
      </c>
      <c r="R193" s="6" t="n">
        <v>18</v>
      </c>
      <c r="S193" s="6" t="n">
        <v>4</v>
      </c>
      <c r="T193" s="6" t="n">
        <v>3400</v>
      </c>
    </row>
    <row r="194" ht="20.1" customHeight="1">
      <c r="A194" s="6" t="n">
        <v>193</v>
      </c>
      <c r="B194" s="4" t="inlineStr">
        <is>
          <t>BGR</t>
        </is>
      </c>
      <c r="C194" s="4" t="inlineStr">
        <is>
          <t>Cursive</t>
        </is>
      </c>
      <c r="D194" s="10" t="n">
        <v>9788198348821</v>
      </c>
      <c r="E194" s="10" t="n">
        <v>8198348824</v>
      </c>
      <c r="F194" s="5" t="inlineStr">
        <is>
          <t>Falguni Desai &amp; Dr Amit Nagpal</t>
        </is>
      </c>
      <c r="G194" s="4" t="inlineStr">
        <is>
          <t>Sheroes Amongst Us - Real Women Real Stories</t>
        </is>
      </c>
      <c r="H194" s="6" t="inlineStr">
        <is>
          <t>Sheroes Amongst Us celebrates women who have embraced their own potential while powering through adversity to weave their own stories of success. The authors have carefully curated stories built on grit, transformation and dreams. The stories not only bring to light the accomplishments of these incredible women, but also the paths that they have traversed to reach where they are today. Each story will serve as an inspiration for aspiring women leaders of tomorrow to learn from the journeys traced in these 32 stories. This book is a call to action from the authors to awaken the Shero within you.</t>
        </is>
      </c>
      <c r="I194" s="6" t="inlineStr">
        <is>
          <t>Falguni Desai, a seasoned technology leader with 23 years of experience, has been driving innovation and transformation since January 2000. As a Chief Technology Officer, she led the development of cutting-edge products and strengthened existing platforms for scalability and resilience. With a unique ability to bridge business and technology, she ensures sustainable growth and long-term impact.
Dr Amit Nagpal's life revolves around stories. From Marketer to Professor to Storyteller, six words tell his life story. He is President &amp; Co-Founder of the Bloggers Alliance. Professionally he works in the domain of digital &amp; brand storytelling. Personally, he is passionate about applications of storytelling.</t>
        </is>
      </c>
      <c r="J194" s="4" t="n">
        <v>1</v>
      </c>
      <c r="K194" s="4" t="inlineStr">
        <is>
          <t>English</t>
        </is>
      </c>
      <c r="L194" s="4" t="inlineStr">
        <is>
          <t>PB</t>
        </is>
      </c>
      <c r="M194" s="6" t="inlineStr">
        <is>
          <t>India</t>
        </is>
      </c>
      <c r="N194" s="20" t="n">
        <v>45698</v>
      </c>
      <c r="O194" s="4" t="n">
        <v>310</v>
      </c>
      <c r="P194" s="44" t="n">
        <v>595</v>
      </c>
      <c r="Q194" s="6" t="n">
        <v>24</v>
      </c>
      <c r="R194" s="6" t="n">
        <v>18</v>
      </c>
      <c r="S194" s="6" t="n">
        <v>2.5</v>
      </c>
      <c r="T194" s="6" t="n">
        <v>500</v>
      </c>
    </row>
    <row r="195" ht="20.1" customHeight="1">
      <c r="A195" s="6" t="n">
        <v>194</v>
      </c>
      <c r="B195" s="4" t="inlineStr">
        <is>
          <t>Law</t>
        </is>
      </c>
      <c r="C195" s="4" t="inlineStr">
        <is>
          <t>OakBridge</t>
        </is>
      </c>
      <c r="D195" s="10" t="n">
        <v>9788197939266</v>
      </c>
      <c r="E195" s="10" t="n">
        <v>8197939268</v>
      </c>
      <c r="F195" s="5" t="inlineStr">
        <is>
          <t>Dhana Madhri Guruswamy</t>
        </is>
      </c>
      <c r="G195" s="4" t="inlineStr">
        <is>
          <t>Treatise on the POSH Act - A Critical and Comparative Commentary on the Sexual Harassment of Women at Workplace (Prevention, Prohibition and Redressal) Act, 2013</t>
        </is>
      </c>
      <c r="H195" s="7" t="inlineStr">
        <is>
          <t>Treatise on the POSH Act provides a thorough examination of the Sexual Harassment of Women at the Workplace (Prevention, Prohibition, and Redressal) Act of 2013. The book explores the history and evolution of the POSH Act, defining sexual harassment in its various forms—physical, verbal, pictorial, and virtual—while also addressing the issue of online harassment in the metaverse. It outlines the roles of Internal and Local Committees; explains the inquiry process; and discusses key provisions such as confidentiality, employer responsibilities, appeals and penalties for non-compliance. The book also discusses in detail the applicability of the POSH Act to different sectors including public sector units, education, and banking.
The book follows a topic-wise arrangement, allowing readers to easily access information and understand the nuances of law. This book will be a valuable resource for Legal Practitioners, Judges, Internal Committee members, HR Professionals, Corporate Heads, Employees, Research scholars, and anyone looking to understand the POSH Act and its implementation.</t>
        </is>
      </c>
      <c r="I195" s="7" t="inlineStr">
        <is>
          <t>Dhana Madhri Guruswamy is an experienced advocate with a diverse legal background. She is a recognized expert on the POSH Act and has led initiatives aimed at creating safer workplaces across various sectors. Madhri's practical experience includes serving as an External Member on Internal Committees for numerous private, public, and multinational organizations, where she has played a crucial role in handling complex inquiries related to the POSH Act. As a sought-after trainer, she has conducted many specialized sessions for Internal Committee members and employees, offering comprehensive guidance on compliance, inquiry processes, and best practices associated with the POSH Act.</t>
        </is>
      </c>
      <c r="J195" s="4" t="n">
        <v>1</v>
      </c>
      <c r="K195" s="4" t="inlineStr">
        <is>
          <t>English</t>
        </is>
      </c>
      <c r="L195" s="4" t="inlineStr">
        <is>
          <t>HB</t>
        </is>
      </c>
      <c r="M195" s="6" t="inlineStr">
        <is>
          <t>India</t>
        </is>
      </c>
      <c r="N195" s="20" t="n">
        <v>45701</v>
      </c>
      <c r="O195" s="4" t="n">
        <v>768</v>
      </c>
      <c r="P195" s="44" t="n">
        <v>1695</v>
      </c>
      <c r="Q195" s="6" t="n">
        <v>24</v>
      </c>
      <c r="R195" s="6" t="n">
        <v>18</v>
      </c>
      <c r="S195" s="6" t="n">
        <v>3</v>
      </c>
      <c r="T195" s="6" t="n">
        <v>1250</v>
      </c>
    </row>
    <row r="196" ht="20.1" customHeight="1">
      <c r="A196" s="6" t="n">
        <v>195</v>
      </c>
      <c r="B196" s="4" t="inlineStr">
        <is>
          <t>Academic</t>
        </is>
      </c>
      <c r="C196" s="4" t="inlineStr">
        <is>
          <t>Edge</t>
        </is>
      </c>
      <c r="D196" s="10" t="n">
        <v>9789395764902</v>
      </c>
      <c r="E196" s="10" t="n">
        <v>9395764902</v>
      </c>
      <c r="F196" s="5" t="inlineStr">
        <is>
          <t>Kamna Singh and Vaibhav Kumar</t>
        </is>
      </c>
      <c r="G196" s="4" t="inlineStr">
        <is>
          <t>UPPSC Samanya Adhyayan Paper 6</t>
        </is>
      </c>
      <c r="H196" s="6" t="inlineStr">
        <is>
          <t>सामान्य अध्ययन पेपर-6, उत्तर प्रदेश लोक सेवा आयोग (UPPSC) द्वारा आयोजित सम्मिलित अधीनस्थ सेवा (मुख्य) [Combined State/Upper Subordinate (Mains)] के नवीन पाठ्यक्रम पर आधारित लिखी गयी पुस्तक है।
प्रमुख विशेषताएँ
•	UPPSC द्वारा जारी नवीन पाठ्यक्रम पर आधारित सरल, सुबोध और सुगम्य भाषा में लिखी पुस्तक है। नवीन पाठ्यक्रम में दिये गये विषयों को समसामयिक मुद्दों से अंतर्संबंध करना।
•	उत्तर प्रदेश सरकार के द्वारा संचालित नीतियों, योजनाओं, परियोजनाओं का यथा सम्भव स्थान पर समावेश किया गया है।
•	फ्लोचार्ट, तालिकाओं, चित्रों का प्रयोग, जिन्हें उत्तर लेखन में प्रयुक्त किया जा सकता है।
•	यूपीपीएससी 2023 मुख्य परीक्षा (सामान्य अध्ययन पेपर-6) के मॉडल उत्तर की प्रस्तुति।</t>
        </is>
      </c>
      <c r="I196" s="6" t="inlineStr">
        <is>
          <t>कामना सिंह, वर्तमान में राज्य कर अधिकारी, उत्तर प्रदेश के पद पर नियुक्त हैं। इनका चयन उत्तर प्रदेश लोक सेवा आयोग द्वारा आयोजित पीएससी परीक्षा 2016 में हुआ। लेखिका को आईएएस एवं विभिन्न राज्यों की पीएससी परीक्षायें देने का अनुभव रहा है। इसके पूर्व इन्हें 10 वर्षों का विभिन्न सरकारी एवं प्राइवेट सिविल सर्विस कोचिंग संस्थानों में अभ्यर्थियों को सिविल सेवा के लिए मार्गदर्शन देने का अनुभव रहा है तथा इनके निर्देशन में अनेक अभ्यर्थियों ने आईएएस एवं पीएससी जैसी परीक्षाओं में उच्च स्थान प्राप्त किया है।
वैभव कुमार, वर्तमान में सिविल सेवा प्रशिक्षक एवं मार्गदर्शक के रूप में विभिन्न अभ्यर्थियों का मार्गदर्शन एवं निर्देशन कर रहे हैं। इन्होने आईएएस एवं विभिन्न पीएससी परीक्षाओं में प्री एवं मेन्स की परीक्षायें उत्तीर्ण की हैं तथा हिंदी साहित्य, राजनीति विज्ञान एवं समाज कार्य जैसे विषयों का गहन अध्ययन किया है तथा स्नातकोत्तर उपाधियाँ प्राप्त की हैं।</t>
        </is>
      </c>
      <c r="J196" s="4" t="n">
        <v>1</v>
      </c>
      <c r="K196" s="4" t="inlineStr">
        <is>
          <t>English</t>
        </is>
      </c>
      <c r="L196" s="4" t="inlineStr">
        <is>
          <t>PB</t>
        </is>
      </c>
      <c r="M196" s="6" t="inlineStr">
        <is>
          <t>India</t>
        </is>
      </c>
      <c r="N196" s="20" t="n">
        <v>45713</v>
      </c>
      <c r="O196" s="4" t="n">
        <v>378</v>
      </c>
      <c r="P196" s="44" t="n">
        <v>450</v>
      </c>
      <c r="Q196" s="6" t="n">
        <v>23.5</v>
      </c>
      <c r="R196" s="6" t="n">
        <v>17</v>
      </c>
      <c r="S196" s="6" t="n">
        <v>2.5</v>
      </c>
      <c r="T196" s="6" t="n">
        <v>450</v>
      </c>
    </row>
    <row r="197" ht="20.1" customHeight="1">
      <c r="A197" s="6" t="n">
        <v>196</v>
      </c>
      <c r="B197" s="4" t="inlineStr">
        <is>
          <t>BGR</t>
        </is>
      </c>
      <c r="C197" s="4" t="inlineStr">
        <is>
          <t>Cursive</t>
        </is>
      </c>
      <c r="D197" s="10" t="n">
        <v>9788198348869</v>
      </c>
      <c r="E197" s="10" t="n">
        <v>8198348867</v>
      </c>
      <c r="F197" s="5" t="inlineStr">
        <is>
          <t>Manish Chaturvedi</t>
        </is>
      </c>
      <c r="G197" s="4" t="inlineStr">
        <is>
          <t>Yogi @ Corporate Street</t>
        </is>
      </c>
      <c r="H197" s="6" t="inlineStr">
        <is>
          <t>In a world that often prioritizes competition over collaboration, this book seeks to restore the balance between ambition and empathy, individual success and team achievement. Drawing from timeless wisdom found in scriptures and moral stories, the author connects ancient narratives to the realities of modern professional life. From the resilience of Hanuman to the wisdom of Birbal, and from Bhagirath’s relentless determination to Sri Krishna’s masterful leadership, the book presents strategies, ethics, and insights applicable to today's challenges. It is an invitation to rediscover the values that drive sustainable success and meaningful leadership, and to lead with courage and collaborate with compassion. This book is about becoming a true YOGi @ Corporate Street—an individual who blends character with competence to navigate the complexities of the professional world.</t>
        </is>
      </c>
      <c r="I197" s="6" t="inlineStr">
        <is>
          <t>In a world that often prioritizes competition over collaboration, this book seeks to restore the balance between ambition and empathy, individual success and team achievement. Drawing from timeless wisdom found in scriptures and moral stories, the author connects ancient narratives to the realities of modern professional life. From the resilience of Hanuman to the wisdom of Birbal, and from Bhagirath’s relentless determination to Sri Krishna’s masterful leadership, the book presents strategies, ethics, and insights applicable to today's challenges. It is an invitation to rediscover the values that drive sustainable success and meaningful leadership, and to lead with courage and collaborate with compassion. This book is about becoming a true YOGi @ Corporate Street—an individual who blends character with competence to navigate the complexities of the professional world.</t>
        </is>
      </c>
      <c r="J197" s="4" t="n">
        <v>1</v>
      </c>
      <c r="K197" s="4" t="inlineStr">
        <is>
          <t>English</t>
        </is>
      </c>
      <c r="L197" s="4" t="inlineStr">
        <is>
          <t>PB</t>
        </is>
      </c>
      <c r="M197" s="6" t="inlineStr">
        <is>
          <t>India</t>
        </is>
      </c>
      <c r="N197" s="20" t="n">
        <v>45726</v>
      </c>
      <c r="O197" s="4" t="n">
        <v>258</v>
      </c>
      <c r="P197" s="44" t="n">
        <v>595</v>
      </c>
      <c r="Q197" s="6" t="n">
        <v>21.5</v>
      </c>
      <c r="R197" s="6" t="n">
        <v>14</v>
      </c>
      <c r="S197" s="6" t="n">
        <v>2.5</v>
      </c>
      <c r="T197" s="6" t="n">
        <v>400</v>
      </c>
    </row>
    <row r="198" ht="20.1" customHeight="1">
      <c r="A198" s="6" t="n">
        <v>197</v>
      </c>
      <c r="B198" s="4" t="inlineStr">
        <is>
          <t>Law</t>
        </is>
      </c>
      <c r="C198" s="4" t="inlineStr">
        <is>
          <t>OakBridge</t>
        </is>
      </c>
      <c r="D198" s="10" t="n">
        <v>9788198348845</v>
      </c>
      <c r="E198" s="10" t="n">
        <v>8198348840</v>
      </c>
      <c r="F198" s="5" t="inlineStr">
        <is>
          <t xml:space="preserve">Anil Malhotra and Ankit Malhotra </t>
        </is>
      </c>
      <c r="G198" s="4" t="inlineStr">
        <is>
          <t>Practitioner’s Guide to International Family Law</t>
        </is>
      </c>
      <c r="H198" s="7" t="inlineStr">
        <is>
          <t>Practitioner’s Guide to International Family Law: An Indian Perspective is an authoritative and comprehensive resource that bridges the complexities of Indian family laws with the evolving challenges of international family law. Designed for practitioners, judges, academics, and students, the book addresses key issues such as cross-border marriage, divorce, child custody, maintenance, adoption, and the enforcement of foreign judgments and arbitral awards. It explores the interplay between Indian personal laws—covering Hindu, Muslim, Christian, Parsi, and secular legal frameworks like the Special Marriage Act—and international legal instruments, including the Hague Conventions and other bilateral treaties governing family law.
The book provides in-depth guidance on jurisdictional dilemmas, forum shopping, conflict of laws, and the recognition of foreign decrees under Indian law, highlighting critical provisions and contemporary case law. The book highlights significant judicial interpretations and landmark decisions, ensuring readers remain updated with the latest legal developments. By bridging domestic family law with international instruments, treaties, and comparative case studies, the guide provides solutions to complex cross-border family disputes. Further focus is given to cases involving non-resident Indians, expatriates, and cross-border families, offering clarity on topics such as habitual residence, domicile, and the enforcement of maintenance and custody orders abroad. It presents a comparative analysis of legal systems to equip readers with tools to address globalized family disputes effectively.
With its focus on harmonizing domestic and international legal principles, this guide also engages with contemporary challenges, including inter-country child abduction, international surrogacy agreements, and cross-border domestic violence. Written with procedural precision and supported by practical examples, updated citations, and legislative reforms, the book is a definitive tool for navigating international family law issues while considering India’s unique legal and cultural contexts. It is an essential reading for those seeking to understand and resolve complex, multi-jurisdictional family law matters in an increasingly interconnected and legally pluralistic world.</t>
        </is>
      </c>
      <c r="I198" s="7" t="inlineStr">
        <is>
          <t>Anil Malhotra is a practising Advocate with over 40 years of experience with expertise on implementation, interpretation, and application of Foreign Court Orders regarding divorce decrees, child abduction, custody, maintenance, adoption, surrogacy and family related issues of Non-resident Indians (NRIs). Anil has co-authored several books on diverse subjects. He is a regular speaker at international and domestic conferences and has over 500 newspaper columns to his credit besides contributing articles in reputed Family Law Journals. He is a Member of the International Academy of Family Lawyers since 2007 and its Child Relocation Committee. He completed B.Sc. (1980) and LL.B (Professional) (1983) degrees from Panjab University &amp; an LLM degree from the University of London in 1985. He studied Comparative Family Law at LSE besides Law &amp; Society at SOAS, University of London.
Ankit Malhotra read his B.A. and LL.B from O.P. Jindal Global University. He was awarded, from 2017-2022, Best Student Researcher, Rank 1 for Outstanding Contribution to Academic Initiatives, Outstanding All-Round Performance and a Gold Medal in Recognition of Outstanding Performance and Certificate for Outstanding Leadership. In 2022-2023, as the Felix Scholar, he read his LLM in International Law at the School of Oriental and African Studies, University of London. Mr. Malhotra has worked in the Chambers of Justice A.K. Sikri and since then has assisted in rendering expert reports and assistance in cases to domestic and foreign courts on recognition of foreign orders, international abduction, and the nuances of Private and Public International Family Law issues from an Indian perspective.</t>
        </is>
      </c>
      <c r="J198" s="4" t="n">
        <v>1</v>
      </c>
      <c r="K198" s="4" t="inlineStr">
        <is>
          <t>English</t>
        </is>
      </c>
      <c r="L198" s="4" t="inlineStr">
        <is>
          <t>HB</t>
        </is>
      </c>
      <c r="M198" s="6" t="inlineStr">
        <is>
          <t>India</t>
        </is>
      </c>
      <c r="N198" s="20" t="n">
        <v>45741</v>
      </c>
      <c r="O198" s="4" t="n">
        <v>1058</v>
      </c>
      <c r="P198" s="44" t="n">
        <v>2495</v>
      </c>
      <c r="Q198" s="6" t="n">
        <v>24</v>
      </c>
      <c r="R198" s="6" t="n">
        <v>18</v>
      </c>
      <c r="S198" s="6" t="n">
        <v>3.5</v>
      </c>
      <c r="T198" s="6" t="n">
        <v>1500</v>
      </c>
    </row>
    <row r="199" ht="20.1" customHeight="1">
      <c r="A199" s="6" t="n">
        <v>198</v>
      </c>
      <c r="B199" s="4" t="inlineStr">
        <is>
          <t>Academic</t>
        </is>
      </c>
      <c r="C199" s="4" t="inlineStr">
        <is>
          <t>OakBridge</t>
        </is>
      </c>
      <c r="D199" s="10" t="n">
        <v>9788198431165</v>
      </c>
      <c r="E199" s="10" t="inlineStr">
        <is>
          <t>B0F4QRPVTQ</t>
        </is>
      </c>
      <c r="F199" s="5" t="inlineStr">
        <is>
          <t>Harpreet Kaur</t>
        </is>
      </c>
      <c r="G199" s="4" t="inlineStr">
        <is>
          <t>All-in-One Master Guide to NTA UGC NET Paper I (Teaching and Research Aptitude)</t>
        </is>
      </c>
      <c r="H199" s="6" t="inlineStr">
        <is>
          <t>All-in-One Master Guide to NTA UGC NET Paper I (Teaching and Research Aptitude) is the one-stop-solution for the preparation of the competitive examination for NET, SET, JRF &amp; PhD. Developed to prepare the aspirants for success the book offers the following benefits:
21 Years (2004-2025) of Solved Previous Years’ Questions
4000+ Practice Questions for Extensive Preparation
11 FREE Mock Tests in Real Exam-Like Interface
Solved Chapter-wise PYQs (2004-2023) for Revision &amp; Retention
Latest Solved Question Papers for September 2024 and January 2025
Clear &amp; Concise Explanations of Complex Topics
Strategic Guidance with Tips &amp; Tricks
Comprehensive Coverage as per latest UGC NET 2025 Notification
Figures, Infographics &amp; Tables to Aid Quick Learning
Win Electronic Gift &amp; Other Prizes</t>
        </is>
      </c>
      <c r="I199" s="6" t="inlineStr">
        <is>
          <t>Harpreet Kaur, former faculty at Guru Nanak Dev University, Amritsar and founding director of Egzaminer is a seasoned writer and has dedicated herself to simplifying the complexities of competitive exams, primarily NTA UGC-NET Paper-1. With a wealth of knowledge and a knack for clarity, she has perfectly mastered the art of guiding the aspiring individuals through the intricate maze of competitive exams. Through this book, get ready to embark on a transformative journey as she shares insights, strategies, and a roadmap to success in the world of competitive exams.</t>
        </is>
      </c>
      <c r="J199" s="4" t="n">
        <v>6</v>
      </c>
      <c r="K199" s="4" t="inlineStr">
        <is>
          <t>English</t>
        </is>
      </c>
      <c r="L199" s="4" t="inlineStr">
        <is>
          <t>PB</t>
        </is>
      </c>
      <c r="M199" s="6" t="inlineStr">
        <is>
          <t>India</t>
        </is>
      </c>
      <c r="N199" s="20" t="n">
        <v>45741</v>
      </c>
      <c r="O199" s="4" t="n">
        <v>758</v>
      </c>
      <c r="P199" s="44" t="n">
        <v>695</v>
      </c>
      <c r="Q199" s="6" t="n">
        <v>25.4</v>
      </c>
      <c r="R199" s="6" t="n">
        <v>20.3</v>
      </c>
      <c r="S199" s="6" t="n">
        <v>3</v>
      </c>
      <c r="T199" s="6" t="n">
        <v>1300</v>
      </c>
    </row>
    <row r="200" ht="20.1" customHeight="1">
      <c r="A200" s="6" t="n">
        <v>199</v>
      </c>
      <c r="B200" s="4" t="inlineStr">
        <is>
          <t>Law</t>
        </is>
      </c>
      <c r="C200" s="4" t="inlineStr">
        <is>
          <t>OakBridge</t>
        </is>
      </c>
      <c r="D200" s="10" t="n">
        <v>9788198431103</v>
      </c>
      <c r="E200" s="10" t="inlineStr">
        <is>
          <t>B0F4QR4L78</t>
        </is>
      </c>
      <c r="F200" s="5" t="inlineStr">
        <is>
          <t>Sujeet Kumar and Md. Tauseef Alam</t>
        </is>
      </c>
      <c r="G200" s="4" t="inlineStr">
        <is>
          <t>AI on Trial</t>
        </is>
      </c>
      <c r="H200" s="7" t="inlineStr">
        <is>
          <t>AI on Trial is a forward-looking and probably the first of its kind project that examines the nexus between AI and legal systems, underlining the pressing requirement for obligation, culpability, and systems of governance. The book carefully covers AI’s key principles, culpability assignment, and legal hurdles throughout seven chapters.
In a nutshell, it analyzes biases in AI, basic rights, and the intricacies of intellectual property concerns of AI-generated content, suggesting solutions such as a “Machine-Created Intellectual Assets Act”. The book analyzes AI’s legal personhood, intentionality, and agency, calling on the Turing Test and international approaches. It also addresses models of civil and criminal liability, intermediary duties, and concerns connected to product liability.
A significant chapter oﬀers the idea of ‘safe harbour’ for AI, examining its repercussions for innovation and governance. The book finishes by examining AI’s influence on key fields such as healthcare and free speech, supporting equitable and balanced regulation.</t>
        </is>
      </c>
      <c r="I200" s="7" t="inlineStr">
        <is>
          <t>Sujeet Kumar is a Member of Parliament (MP) in the Rajya Sabha, representing the state of Odisha. He was one of the youngest MPs to head the Petitions Committee of Rajya Sabha. An Engineer turned Lawyer, he is currently practising law at the Supreme Court of India, various High Courts and Tribunals. He is the founder and Managing Partner of LexMantra. Previously, he worked at the World Economic Forum (WEF) in Geneva, Switzerland, and for United Nations Development Program (UNDP) and for Infosys Technologies Ltd. in India.
Md. Tauseef Alam is a law student at the Lloyd School of Law. Currently, he assists Shri Sujeet Kumar as his Legislative and Public Policy Associate, and Trainee Associate at LexMantra. Previously he has contributed by assisting Sr. Adv. Salman Khurshid, in prominent constitutional matters of AMU Minority Status and SC/ST Reservation. He has also assisted the Hon’ble Chief Justice, Calcutta High Court; Delhi Commission for Child Rights; Sr. Adv. SV Raju, Additional Solicitor General for India et al.</t>
        </is>
      </c>
      <c r="J200" s="4" t="n">
        <v>1</v>
      </c>
      <c r="K200" s="4" t="inlineStr">
        <is>
          <t>English</t>
        </is>
      </c>
      <c r="L200" s="4" t="inlineStr">
        <is>
          <t>PB</t>
        </is>
      </c>
      <c r="M200" s="6" t="inlineStr">
        <is>
          <t>India</t>
        </is>
      </c>
      <c r="N200" s="20" t="n">
        <v>45765</v>
      </c>
      <c r="O200" s="4" t="n">
        <v>286</v>
      </c>
      <c r="P200" s="44" t="n">
        <v>695</v>
      </c>
      <c r="Q200" s="6" t="n">
        <v>21.5</v>
      </c>
      <c r="R200" s="6" t="n">
        <v>14</v>
      </c>
      <c r="S200" s="6" t="n">
        <v>2.5</v>
      </c>
      <c r="T200" s="6" t="n">
        <v>600</v>
      </c>
    </row>
    <row r="201" ht="20.1" customHeight="1">
      <c r="A201" s="6" t="n">
        <v>200</v>
      </c>
      <c r="B201" s="4" t="inlineStr">
        <is>
          <t>Law</t>
        </is>
      </c>
      <c r="C201" s="4" t="inlineStr">
        <is>
          <t>OakBridge</t>
        </is>
      </c>
      <c r="D201" s="10" t="n">
        <v>9788198431189</v>
      </c>
      <c r="E201" s="10" t="inlineStr">
        <is>
          <t>B0F4QRPVTS</t>
        </is>
      </c>
      <c r="F201" s="5" t="inlineStr">
        <is>
          <t>Dr Sumit Pahwa</t>
        </is>
      </c>
      <c r="G201" s="4" t="inlineStr">
        <is>
          <t>Corporate Law Referencer®</t>
        </is>
      </c>
      <c r="H201" s="6" t="inlineStr">
        <is>
          <t>Corporate Law Referencer presents a 360o view of the Companies Act, 2013 and Limited Liability Partnership Act, 2008 with section-wise arrangement of all Circulars, Orders, Rules &amp; Notifications including Procedures, FAQs, Resolutions, Adjudication Orders and Judicial Precedents.
11th Edition, updated upto 1st April 2025 includes:
Companies Act, 2013 and Limited Liability Partnership Act, 2008 updated upto 1st April, 2025
Annual editions regularly updated to incorporate legislative changes
Section is the King - All Circulars, Orders, Rules and Notifications (CORN) including Procedures, FAQs, Resolutions and Judicial Precedents have been placed below the relevant section
Compliance checklists and tables on Compliances for Listed Companies under the LODR, Takeover code, Insider Trading, Buy-Back and ESOP &amp; Sweat Equity Regulations
Quick Referencers containing 150+ procedures and compliance checklists for both Listed and Unlisted Companies
800+ FAQs on grey areas and practical issues
250+ landmark judgments on key issues
Formats of 100+ resolutions under relevant sections
Secretarial Standards
Notes on 75+ adjudication orders on the key matters providing readers an insight into the cost of non-compliance
23 Quick Reference Tables (QRTs)</t>
        </is>
      </c>
      <c r="I201" s="6" t="inlineStr">
        <is>
          <t>eMinds Legal is a boutique Corporate Law Firm based in Gurgaon, India, specializing in Corporate Secretarial, Corporate Legal, Compliance, Accounting &amp; Payroll. The firm comprises of a team of around 60+ professionals with in-depth subject matter knowledge and Partners with over 25 years of industry experience. Dr Sumit Pahwa, Founder Partner, eMinds Legal is the lead author of the book. A Corporate Lawyer &amp; Company Secretary, Sumit is the Co-founder &amp; CEO of Complinity - Governance, Risk and Compliance Software. Sumit has over 27 years of experience and is an expert in Corporate Laws, Insolvency and Bankruptcy Code (IBC), and Cyber laws. Sumit regularly appears before the benches of National Company Law Tribunal (NCLT) in relation to IBC, shareholder disputes and other matters.</t>
        </is>
      </c>
      <c r="J201" s="4" t="n">
        <v>11</v>
      </c>
      <c r="K201" s="4" t="inlineStr">
        <is>
          <t>English</t>
        </is>
      </c>
      <c r="L201" s="4" t="inlineStr">
        <is>
          <t>PB</t>
        </is>
      </c>
      <c r="M201" s="6" t="inlineStr">
        <is>
          <t>India</t>
        </is>
      </c>
      <c r="N201" s="20" t="n">
        <v>45765</v>
      </c>
      <c r="O201" s="4" t="n">
        <v>2686</v>
      </c>
      <c r="P201" s="44" t="n">
        <v>4750</v>
      </c>
      <c r="Q201" s="6" t="n">
        <v>24</v>
      </c>
      <c r="R201" s="6" t="n">
        <v>18</v>
      </c>
      <c r="S201" s="6" t="n">
        <v>6</v>
      </c>
      <c r="T201" s="6" t="n">
        <v>4000</v>
      </c>
    </row>
    <row r="202" ht="20.1" customHeight="1">
      <c r="A202" s="6" t="n">
        <v>201</v>
      </c>
      <c r="B202" s="4" t="inlineStr">
        <is>
          <t>BGR</t>
        </is>
      </c>
      <c r="C202" s="4" t="inlineStr">
        <is>
          <t>OakBridge</t>
        </is>
      </c>
      <c r="D202" s="10" t="n">
        <v>9788198348883</v>
      </c>
      <c r="E202" s="10" t="n">
        <v>8198348883</v>
      </c>
      <c r="F202" s="5" t="inlineStr">
        <is>
          <t>Mohit Khullar and Olivia Gadd</t>
        </is>
      </c>
      <c r="G202" s="4" t="inlineStr">
        <is>
          <t>Boss vs Coach: Transforming your Leadership Style</t>
        </is>
      </c>
      <c r="H202" s="6" t="inlineStr">
        <is>
          <t>In the rapidly evolving landscape of modern business, the shift from control to empowerment is not merely a managerial preference but a strategic imperative. The traditional boss, anchored in authority and micromanagement, may achieve compliance but often at the expense of innovation and engagement. In contrast, the coach understands that empowering team members unleashes their potential, drives creativity, and foster a resilient organizational culture. The book discusses key concepts and tools that the readers can utilise to start their journey of transformation from being a boss to a coach. The book will be of value to mid level managers, business leaders, management scholars, and everyone aspiring to elevate their leadership game.</t>
        </is>
      </c>
      <c r="I202" s="6" t="inlineStr">
        <is>
          <t>Mohit Khullar is a dynamic leader with over 23 years of experience in senior management roles spanning Risk and Quality, Consulting, and Strategy. An EMCC-accredited coach and thought leader, Mohit is passionate about transforming leadership paradigms to meet the demands of an ever-evolving world. His celebrated ‘Boss vs Coach’ series on LinkedIn has become a cornerstone for driving meaningful conversations around leadership evolution, inspiring professionals globally to adopt coaching-style leadership. Beyond his corporate endeavors, Mohit is an accomplished writer and poet.
Olivia Gadd is the co-founder of Big Thinking Space, an exciting global venture to bring coaching and coaching skills to a wider audience. As master coach and seasoned trainer she has worked with boards, owners and leaders to help them define success for themselves and their organisations. Her drive and purpose is to help people find self-determination by working on beliefs, thinking and behaviours to find energy and joy. Her clients range from sole traders to corporate CEOs; from people managing changes to those aiming to improve the status quo.</t>
        </is>
      </c>
      <c r="J202" s="4" t="n">
        <v>1</v>
      </c>
      <c r="K202" s="4" t="inlineStr">
        <is>
          <t>English</t>
        </is>
      </c>
      <c r="L202" s="4" t="inlineStr">
        <is>
          <t>PB</t>
        </is>
      </c>
      <c r="M202" s="6" t="inlineStr">
        <is>
          <t>India</t>
        </is>
      </c>
      <c r="N202" s="20" t="n">
        <v>45757</v>
      </c>
      <c r="O202" s="4" t="n">
        <v>200</v>
      </c>
      <c r="P202" s="44" t="n">
        <v>695</v>
      </c>
      <c r="Q202" s="6" t="n">
        <v>21.5</v>
      </c>
      <c r="R202" s="6" t="n">
        <v>14</v>
      </c>
      <c r="S202" s="6" t="n">
        <v>2.5</v>
      </c>
      <c r="T202" s="6" t="n">
        <v>400</v>
      </c>
    </row>
    <row r="203" ht="20.1" customHeight="1">
      <c r="A203" s="6" t="n">
        <v>202</v>
      </c>
      <c r="B203" s="4" t="inlineStr">
        <is>
          <t>BGR</t>
        </is>
      </c>
      <c r="C203" s="4" t="inlineStr">
        <is>
          <t>OakBridge</t>
        </is>
      </c>
      <c r="D203" s="10" t="n">
        <v>9788198431196</v>
      </c>
      <c r="E203" s="10" t="inlineStr">
        <is>
          <t>B0F8BCWZ92</t>
        </is>
      </c>
      <c r="F203" s="5" t="inlineStr">
        <is>
          <t>Arjun Mitra</t>
        </is>
      </c>
      <c r="G203" s="4" t="inlineStr">
        <is>
          <t>Sehall’s Suspended Heart</t>
        </is>
      </c>
      <c r="H203" s="7" t="inlineStr">
        <is>
          <t>Mary Sehall is a normal woman with a happy family living a normal happy life and they are very very happy in their small town in the middle of nowhere and there is
absolutely nothing wrong with her very happy life. Everything is fine—better than fine. Sehall and her family—her husband, her daughter, her son—live safely within her bubble, untouchable.
Nothing can hurt them.
Nothing can break through.
As long as nothing gets in.</t>
        </is>
      </c>
      <c r="I203" s="6" t="inlineStr">
        <is>
          <t>Arjun Mitra is a student, born and raised in California. He specializes in crafting narratives that explore romance, comedy, and tragedy, often highlighting LGBTQ+ characters and relationships. In 2024, he served as a staff writer for the M-A Chronicle. When not writing, he enjoys playing video games, baking, and watching movies with his mother and cat.</t>
        </is>
      </c>
      <c r="J203" s="4" t="n">
        <v>1</v>
      </c>
      <c r="K203" s="4" t="inlineStr">
        <is>
          <t>English</t>
        </is>
      </c>
      <c r="L203" s="4" t="inlineStr">
        <is>
          <t>PB</t>
        </is>
      </c>
      <c r="M203" s="6" t="inlineStr">
        <is>
          <t>India</t>
        </is>
      </c>
      <c r="N203" s="20" t="n">
        <v>45757</v>
      </c>
      <c r="O203" s="4" t="n">
        <v>200</v>
      </c>
      <c r="P203" s="44" t="n">
        <v>495</v>
      </c>
      <c r="Q203" s="6" t="n">
        <v>21.5</v>
      </c>
      <c r="R203" s="6" t="n">
        <v>14</v>
      </c>
      <c r="S203" s="6" t="n">
        <v>2.5</v>
      </c>
      <c r="T203" s="6" t="n">
        <v>400</v>
      </c>
    </row>
    <row r="204" ht="20.1" customHeight="1">
      <c r="A204" s="6" t="n">
        <v>203</v>
      </c>
      <c r="B204" s="4" t="inlineStr">
        <is>
          <t>Law</t>
        </is>
      </c>
      <c r="C204" s="4" t="inlineStr">
        <is>
          <t>OakBridge</t>
        </is>
      </c>
      <c r="D204" s="10" t="n">
        <v>9788198348890</v>
      </c>
      <c r="E204" s="10" t="n">
        <v>8198348891</v>
      </c>
      <c r="F204" s="5" t="inlineStr">
        <is>
          <t>K K Khandelwal</t>
        </is>
      </c>
      <c r="G204" s="4" t="inlineStr">
        <is>
          <t>Insight into Bharatiya Nyaya Sanhita, 2023</t>
        </is>
      </c>
      <c r="H204" s="7" t="inlineStr">
        <is>
          <t>Insight into Bharatiya Nyaya Sanhita, 2023: A Paradigm Shift in Indian Penal Law is a comprehensive guide, providing an indispensable insight into the new legal framework. Discover the reforms introduced by the BNS, which aims to align the law with current societal values, technological advancements, and a victim-centric approach. This book meticulously dissects the provisions of the BNS, offering a clear understanding of the streamlined legal framework.
Gain a deeper understanding of
• Key changes and their implications, including the incorporation of contemporary issues like cybercrime and enhanced focus on gender justice.
• Comparative analysis with the IPC, highlighting the legislative intent and practical implications of the new code.
• The revised definitions of offences such as sedition and defamation, and the enhanced penalties for crimes against women and children.
• The inclusion of new offences like mob lynching and terrorism, and the revised approach to organised crime and public safety violations.
• The abolition of outdated provisions and the introduction of community service as a new form of punishment.
• The expansion of definitions to include economic and intangible assets as movable property.
• Detailed discussions supported by relevant case law and judicial precedents.
This book serves as a practical resource for judges, legal practitioners, enforcement officers, scholars, and students.</t>
        </is>
      </c>
      <c r="I204" s="6"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engagements.</t>
        </is>
      </c>
      <c r="J204" s="4" t="n">
        <v>1</v>
      </c>
      <c r="K204" s="4" t="inlineStr">
        <is>
          <t>English</t>
        </is>
      </c>
      <c r="L204" s="4" t="inlineStr">
        <is>
          <t>HB</t>
        </is>
      </c>
      <c r="M204" s="6" t="inlineStr">
        <is>
          <t>India</t>
        </is>
      </c>
      <c r="N204" s="20" t="n">
        <v>45776</v>
      </c>
      <c r="O204" s="4" t="n">
        <v>1375</v>
      </c>
      <c r="P204" s="44" t="n">
        <v>2995</v>
      </c>
      <c r="Q204" s="6" t="n">
        <v>24.8</v>
      </c>
      <c r="R204" s="6" t="n">
        <v>16.3</v>
      </c>
      <c r="S204" s="6" t="n">
        <v>2.5</v>
      </c>
      <c r="T204" s="6" t="n">
        <v>3000</v>
      </c>
    </row>
    <row r="205" ht="20.1" customHeight="1">
      <c r="A205" s="6" t="n">
        <v>204</v>
      </c>
      <c r="B205" s="4" t="inlineStr">
        <is>
          <t>Law</t>
        </is>
      </c>
      <c r="C205" s="4" t="inlineStr">
        <is>
          <t>OakBridge</t>
        </is>
      </c>
      <c r="D205" s="10" t="n">
        <v>9788198751256</v>
      </c>
      <c r="E205" s="10" t="inlineStr">
        <is>
          <t>B0FBWMCHRN</t>
        </is>
      </c>
      <c r="F205" s="5" t="inlineStr">
        <is>
          <t>K K Khandelwal</t>
        </is>
      </c>
      <c r="G205" s="4" t="inlineStr">
        <is>
          <t xml:space="preserve">Insights into The Unified Waqf Management, Empowerment, Efficiency and Development Act, 1995 </t>
        </is>
      </c>
      <c r="H205" s="7" t="inlineStr">
        <is>
          <t>Insights into The Unified Waqf Management, Empowerment, Efficiency and Development Act, 1995 is a comprehensive commentary on the complex governance of waqf institutions in India. This Act, reimagined and restructured through the Waqf (Amendment) Act, 2025, marks a watershed moment in the legal landscape of religious endowments and represents a fundamental reorientation of how waqf is envisioned. This reformative shift reflects a commitment to bringing efficiency, digitisation, and inclusivity into waqf administration.
Employing a unique multi-dimensional approach, the book meticulously analyses every section of the principal Act, explaining its essential ingredients and legal relevance with clarity. A key feature is the integrated comparative analysis with earlier versions of the Act, highlighting the nuances of the legislative changes introduced by the 2025 Amendment. Readers gain critical insights into the legislative intent through the incorporation of deliberations and discussions of the Joint Parliamentary Committee.
Enhancing its comprehensiveness and practical utility, the volume includes the full texts of vital related laws and rules, such as The Mussalman Wakf (Repeal) Act, 2025, The Central Waqf Council Rules, 1998, and The Waqf Properties Lease Rules, 2014. This ensures readers have a consolidated reference and transforms the book into a comprehensive legal toolkit for the entire legislative ecosystem governing waqf administration.
This book is an essential reference for academicians, judicial officers, policymakers, waqf administrators, legal practitioners, and the wider public seeking a deeper understanding.</t>
        </is>
      </c>
      <c r="I205" s="6"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engagements.</t>
        </is>
      </c>
      <c r="J205" s="4" t="n">
        <v>1</v>
      </c>
      <c r="K205" s="4" t="inlineStr">
        <is>
          <t>English</t>
        </is>
      </c>
      <c r="L205" s="4" t="inlineStr">
        <is>
          <t>HB</t>
        </is>
      </c>
      <c r="M205" s="6" t="inlineStr">
        <is>
          <t>India</t>
        </is>
      </c>
      <c r="N205" s="20" t="n">
        <v>45797</v>
      </c>
      <c r="O205" s="4" t="n">
        <v>612</v>
      </c>
      <c r="P205" s="44" t="n">
        <v>1395</v>
      </c>
      <c r="Q205" s="6" t="n">
        <v>24.8</v>
      </c>
      <c r="R205" s="6" t="n">
        <v>16.3</v>
      </c>
      <c r="S205" s="6" t="n">
        <v>2.5</v>
      </c>
      <c r="T205" s="6" t="n">
        <v>1500</v>
      </c>
    </row>
    <row r="206" ht="20.1" customHeight="1">
      <c r="A206" s="6" t="n">
        <v>205</v>
      </c>
      <c r="B206" s="4" t="inlineStr">
        <is>
          <t>Law</t>
        </is>
      </c>
      <c r="C206" s="4" t="inlineStr">
        <is>
          <t>OakBridge</t>
        </is>
      </c>
      <c r="D206" s="10" t="n">
        <v>9788198751225</v>
      </c>
      <c r="E206" s="10" t="inlineStr">
        <is>
          <t>B0FBX3MR8D</t>
        </is>
      </c>
      <c r="F206" s="5" t="inlineStr">
        <is>
          <t>Dheera Khandelwal</t>
        </is>
      </c>
      <c r="G206" s="8" t="inlineStr">
        <is>
          <t xml:space="preserve">A Commentary on the Sexual Harassment of Women at Workplace (Prevention, Prohibition and Redressal) Act, 2013 </t>
        </is>
      </c>
      <c r="H206" s="8" t="inlineStr">
        <is>
          <t>A Commentary on the Sexual Harassment of Women at Workplace (Prevention, Prohibition and Redressal) Act, 2013 is an extensive commentary and treatise on this vital piece of legislation, reflecting upon a pervasive issue that strikes at the very foundation of workplace ethics and the broader human rights framework. Drawing on the authors’ extensive legal expertise and administrative insight, the book delves into the nuances of the law and its practical application. It addresses not only the legal landscape but also the socio-cultural contexts that enable sexual harassment to persist, including in sectors like education, healthcare, and corporate environments.
Going beyond mere legal prescriptions, the book critically analyses the effectiveness of existing mechanisms, the challenges of implementation, and the societal attitudes that underpin the prevalence of this misconduct. It confronts the complexities of addressing sexual harassment, including distinguishing genuine cases from misrepresentations or false accusations.
Through rigorous analysis and discussion, combining detailed legal analysis with case law, this edition aims to bring clarity and insight into the Act’s provisions. It discusses various landmark judgments and critically examines the juristic approaches taken by the courts, enhancing the reader’s understanding of the Act’s impact and scope. The book also explores the intersection of the Sexual Harassment Act with other relevant legislations.
Recognising that sexual harassment in the workplace continues to be a critical issue affecting millions of women worldwide, this book is an indispensable resource for legal practitioners, policymakers, academicians, and indeed, any concerned citizen. It provides the tools and knowledge necessary to understand and fight against such injustices.</t>
        </is>
      </c>
      <c r="I206" s="7" t="inlineStr">
        <is>
          <t>Dheera Khandelwal is a distinguished retired officer of the Indian Administrative Service (IAS), belonging to the Haryana cadre (1986 batch) and is at present holding the position of Member, Police Complaints Authority, Chandigarh. She has held several key positions, including Additional Chief Secretary of Environment &amp; Climate Change, School Education, and Women &amp; Child Development; and Chairperson and Appellate Authority of the Haryana State Pollution Control Board, dealing extensively with environmental legislation and related judicial matters.
An accomplished academic, Dheera holds a Master’s degree from Kanpur University and an LLB from Panjab University. She is also an acclaimed author, recognised for her literary contributions in Hindi poetry and significant works related to law. Her literary accolades include the Best Woman Writer Award from Haryana Sahitya Akademi and the Best Book Award from Chandigarh Sahitya Akademi in 2018.</t>
        </is>
      </c>
      <c r="J206" s="4" t="n">
        <v>1</v>
      </c>
      <c r="K206" s="4" t="inlineStr">
        <is>
          <t>English</t>
        </is>
      </c>
      <c r="L206" s="4" t="inlineStr">
        <is>
          <t>HB</t>
        </is>
      </c>
      <c r="M206" s="6" t="inlineStr">
        <is>
          <t>India</t>
        </is>
      </c>
      <c r="N206" s="20" t="n">
        <v>45797</v>
      </c>
      <c r="O206" s="4" t="n">
        <v>684</v>
      </c>
      <c r="P206" s="44" t="n">
        <v>1550</v>
      </c>
      <c r="Q206" s="6" t="n">
        <v>24.8</v>
      </c>
      <c r="R206" s="6" t="n">
        <v>16.3</v>
      </c>
      <c r="S206" s="6" t="n">
        <v>2.5</v>
      </c>
      <c r="T206" s="6" t="n">
        <v>1600</v>
      </c>
    </row>
    <row r="207" ht="20.1" customHeight="1">
      <c r="A207" s="6" t="n">
        <v>206</v>
      </c>
      <c r="B207" s="4" t="inlineStr">
        <is>
          <t>Academic</t>
        </is>
      </c>
      <c r="C207" s="4" t="inlineStr">
        <is>
          <t>Edge</t>
        </is>
      </c>
      <c r="D207" s="10" t="n">
        <v>9788196413513</v>
      </c>
      <c r="E207" s="10" t="n">
        <v>8197413517</v>
      </c>
      <c r="F207" s="5" t="inlineStr">
        <is>
          <t>Vishrut Jain</t>
        </is>
      </c>
      <c r="G207" s="4" t="inlineStr">
        <is>
          <t>Legal Aptitude &amp; Reasoning LA/LR</t>
        </is>
      </c>
      <c r="H207" s="7" t="inlineStr">
        <is>
          <t>Legal Aptitude &amp; Reasoning (LA/LR) for CLAT, AILET, SLAT and Other Law Entrance Tests is a comprehensive book on legal reasoning designed for law entrance exam preparation. It comprehensively covers the syllabus and offers conceptual as well as analytical clarity on the subject.
The book meticulously guides the students on the theoretical aspects as well as practical application in the form of Primers and Passages on key subjects of law. Following the new pattern for CLAT, the passages are accompanied with questions that test the reader’s observation skills and knowledge. 
Key features
Dual Focus: Legal Aptitude &amp; Legal Reasoning Covered in Depth
• Strategies for Test Preparation based on the New CLAT Pattern
• Clear Concepts Across Key Law Subjects – Constitutional, International, Family Law &amp; More
• Chapter-wise Passages Based on the Latest Exam Format
• Updated with 2023 Criminal Laws - Bharatiya Nagarik Suraksha Sanhita, Bharatiya Nyaya Sanhita &amp; Bharatiya Sakshya Adhiniyam
• Practice Passages with Questions, Answers &amp; Explanations
• Self-Assessment Revision Worksheets for Exam Readiness</t>
        </is>
      </c>
      <c r="I207" s="6" t="inlineStr">
        <is>
          <t>Vishrut Jain is a graduate of the West Bengal National University of Juridical Sciences (NUJS), Kolkata. He works with Cyril Amarchand Mangaldas in Mumbai.</t>
        </is>
      </c>
      <c r="J207" s="4" t="n">
        <v>1</v>
      </c>
      <c r="K207" s="4" t="inlineStr">
        <is>
          <t>English</t>
        </is>
      </c>
      <c r="L207" s="4" t="inlineStr">
        <is>
          <t>PB</t>
        </is>
      </c>
      <c r="M207" s="6" t="inlineStr">
        <is>
          <t>India</t>
        </is>
      </c>
      <c r="N207" s="20" t="n">
        <v>45797</v>
      </c>
      <c r="O207" s="4" t="n">
        <v>542</v>
      </c>
      <c r="P207" s="44" t="n">
        <v>695</v>
      </c>
      <c r="Q207" s="6" t="n">
        <v>24</v>
      </c>
      <c r="R207" s="6" t="n">
        <v>18.5</v>
      </c>
      <c r="S207" s="6" t="n">
        <v>2.5</v>
      </c>
      <c r="T207" s="6" t="n">
        <v>1000</v>
      </c>
    </row>
    <row r="208" ht="20.1" customHeight="1">
      <c r="A208" s="6" t="n">
        <v>207</v>
      </c>
      <c r="B208" s="4" t="inlineStr">
        <is>
          <t>Law</t>
        </is>
      </c>
      <c r="C208" s="4" t="inlineStr">
        <is>
          <t>OakBridge</t>
        </is>
      </c>
      <c r="D208" s="10" t="n">
        <v>9788198661159</v>
      </c>
      <c r="E208" s="10" t="inlineStr">
        <is>
          <t>B0FBX35327</t>
        </is>
      </c>
      <c r="F208" s="5" t="inlineStr">
        <is>
          <t>Prithivi Raj</t>
        </is>
      </c>
      <c r="G208" s="4" t="inlineStr">
        <is>
          <t>A Guide to Bharatiya Nagarik Suraksha Sanhita, 2023</t>
        </is>
      </c>
      <c r="H208" s="7" t="inlineStr">
        <is>
          <t xml:space="preserve">A 360o view of the Bharatiya Nagarik Suraksha Sanhita, 2023 providing 
•	Comprehensive Coverage: A detailed explanation of the Bharatiya Nagarik Suraksha Sanhita
•	Conceptual Clarity: Clear explanation aimed at fostering strong conceptual clarity
•	Case law: Updated with recent and landmark case law
•	Practical tools: FIR, charge sheet, bail formats along with flowcharts
•	Illustrations: Procedural illustration to aid understanding
•	Audience: Ideal for students, practitioners, and judicial aspirants </t>
        </is>
      </c>
      <c r="I208" s="6" t="inlineStr">
        <is>
          <t>Prithivi Raj is a lawyer turned academician, currently serving as an Assistant Professor at Birla Global University, Odisha. He is a multifaceted professional with over seven years of experience in litigation at various Indian courts and tribunals. He was also an elected member of the High Court Bar Association in Odisha. Furthermore, he holds editorial leadership positions for the Indian Journal of Law, Polity and Administration and has prior affiliations with NMIMS and ICFAI University.</t>
        </is>
      </c>
      <c r="J208" s="4" t="n">
        <v>1</v>
      </c>
      <c r="K208" s="4" t="inlineStr">
        <is>
          <t>English</t>
        </is>
      </c>
      <c r="L208" s="4" t="inlineStr">
        <is>
          <t>PB</t>
        </is>
      </c>
      <c r="M208" s="6" t="inlineStr">
        <is>
          <t>India</t>
        </is>
      </c>
      <c r="N208" s="20" t="n">
        <v>45797</v>
      </c>
      <c r="O208" s="4" t="n">
        <v>516</v>
      </c>
      <c r="P208" s="44" t="n">
        <v>750</v>
      </c>
      <c r="Q208" s="6" t="n">
        <v>24</v>
      </c>
      <c r="R208" s="6" t="n">
        <v>16</v>
      </c>
      <c r="S208" s="6" t="n">
        <v>2.5</v>
      </c>
      <c r="T208" s="6" t="n">
        <v>800</v>
      </c>
    </row>
    <row r="209" ht="20.1" customHeight="1">
      <c r="A209" s="6" t="n">
        <v>208</v>
      </c>
      <c r="B209" s="4" t="inlineStr">
        <is>
          <t>Law</t>
        </is>
      </c>
      <c r="C209" s="4" t="inlineStr">
        <is>
          <t>OakBridge</t>
        </is>
      </c>
      <c r="D209" s="10" t="n">
        <v>9788198751218</v>
      </c>
      <c r="E209" s="10" t="inlineStr">
        <is>
          <t>B0FJLJYRPX</t>
        </is>
      </c>
      <c r="F209" s="6" t="inlineStr">
        <is>
          <t>K K Khandelwal</t>
        </is>
      </c>
      <c r="G209" s="4" t="inlineStr">
        <is>
          <t>Insights into The Real Estate (Regulation and Development) Act, 2016</t>
        </is>
      </c>
      <c r="H209" s="7" t="inlineStr">
        <is>
          <t>Insights into The Real Estate (Regulation and Development) Act, 2016 is a comprehensive and compelling commentary on the RERA Act. The Real Estate (Regulation and Development) Act, 2016 (RERA) marked a transformative moment in India’s real estate governance, ushering in an era aimed at ensuring transparency, enhancing accountability, and fortifying fairness in real estate transactions. For decades before, the sector operated largely unregulated, characterised by a lack of transparency, imbalance in contractual relations, and an erosion of homebuyers’ rights.
In this crucial context, the author, a distinguished former Chairman of the Haryana Real Estate Regulatory Authority, Gurugram, drawing from his extensive experience which includes his pioneering role in RERA’s early implementation in Haryana, offers a meticulous and methodical exposition of each section of the Act.
This invaluable resource demystifies the law by offering profound insights into its structure, purpose, and evolving jurisprudence. The book deeply analyses intricate topics such as Supreme Court rulings on RERA, the placement of Allottees within the purview of Financial Creditors under IBC, and the crucial interface of the Consumer Protection Act and RERA. It also features an exhaustive coverage of nearly all important judgments of the Supreme Court and various High Courts up to April 2025, carefully outlining the background, core issues, and providing valuable insights into the practical application and interpretation of the Act by the judiciary.
It will serve as an invaluable resource for practitioners, adjudicators, academicians, students, policy architects, real estate developers, and all stakeholders steering the complexities of RERA.</t>
        </is>
      </c>
      <c r="I209" s="6"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managements.</t>
        </is>
      </c>
      <c r="J209" s="4" t="n">
        <v>1</v>
      </c>
      <c r="K209" s="4" t="inlineStr">
        <is>
          <t>English</t>
        </is>
      </c>
      <c r="L209" s="4" t="inlineStr">
        <is>
          <t>HB</t>
        </is>
      </c>
      <c r="M209" s="6" t="inlineStr">
        <is>
          <t>India</t>
        </is>
      </c>
      <c r="N209" s="21" t="inlineStr">
        <is>
          <t>2025-06-19</t>
        </is>
      </c>
      <c r="O209" s="4" t="n">
        <v>840</v>
      </c>
      <c r="P209" s="44" t="n">
        <v>1795</v>
      </c>
      <c r="Q209" s="6" t="n">
        <v>24.8</v>
      </c>
      <c r="R209" s="6" t="n">
        <v>16.3</v>
      </c>
      <c r="S209" s="6" t="n">
        <v>2.5</v>
      </c>
      <c r="T209" s="6" t="n">
        <v>1400</v>
      </c>
    </row>
    <row r="210" ht="20.1" customHeight="1">
      <c r="A210" s="6" t="n">
        <v>209</v>
      </c>
      <c r="B210" s="4" t="inlineStr">
        <is>
          <t>Academic</t>
        </is>
      </c>
      <c r="C210" s="4" t="inlineStr">
        <is>
          <t>Edge</t>
        </is>
      </c>
      <c r="D210" s="10" t="n">
        <v>9788198751201</v>
      </c>
      <c r="E210" s="10" t="inlineStr">
        <is>
          <t>B0FJLL26YY</t>
        </is>
      </c>
      <c r="F210" s="6" t="inlineStr">
        <is>
          <t>Nirbhay Sharma</t>
        </is>
      </c>
      <c r="G210" s="4" t="inlineStr">
        <is>
          <t>Indian Polity and Governance (2/e)</t>
        </is>
      </c>
      <c r="H210" s="7" t="inlineStr">
        <is>
          <t>The thoroughly revised and updated Second Edition of &lt;strong&gt;Indian Polity and Governance&lt;/strong&gt; is your indispensable guide to navigating the complexities of the Indian Constitution, polity, and governance. This book seamlessly integrates foundational constitutional principles with the most recent developments, ensuring you are prepared for every stage of your civil services journey.
Key Highlights of this Edition -
- Comprehensive Updates: Stay current with the latest constitutional amendments, new parliamentary legislation, significant judicial decisions, and all new appointments in constitutional and statutory institutions.
 - Expanded Coverage: Discover crucial new chapters including &amp;lsquo;Law Commission of India&amp;rsquo; &amp;lsquo;Enforcement Directorate&amp;rsquo; , and &amp;lsquo;Accountability and Transparency&amp;rsquo; . A new part, &amp;lsquo;Environment&amp;rsquo;, featuring a chapter titled &amp;lsquo;Environment: Constitutional Protection and Judicial Activism&amp;rsquo;, has also been added.
- Strategic Study Approach: Learn how to effectively connect theoretical knowledge with current developments for Prelims, Mains, and Interview stages, utilizing newspapers and current affairs magazines.
- Mains Answer Writing Mastery: Develop the capacity to craft balanced and progressive answers, incorporating constitutional provisions, current examples, and essential Supreme Court judgments.
- Interview Preparation: Gain insights on correlating current affairs with static topics and developing an incisive outlook for the interview stage.
- Your Path to Success: This guide is designed to transform Indian Constitution, Polity, and Governance into your strongest subject, significantly contributing to your ultimate goal of success.</t>
        </is>
      </c>
      <c r="I210" s="6" t="inlineStr">
        <is>
          <t>Nirbhay Sharma is an established advocate of the Supreme Court. After pursuing LLB from Campus Law Centre, University of Delhi, he completed his Masters’ in Business Laws from NLSIU, Bangalore and LLM from Kurukshetra University. He underwent a General Course in Intellectual Property conducted by the World Intellectual Property Organisation, Geneva. He has been passionately guiding aspirants .of Civil Services as well as Judicial Services examinations for the past 15 years. He also teaches Constitutional Law as guest faculty in law colleges in different parts of India.</t>
        </is>
      </c>
      <c r="J210" s="4" t="n">
        <v>2</v>
      </c>
      <c r="K210" s="4" t="inlineStr">
        <is>
          <t>English</t>
        </is>
      </c>
      <c r="L210" s="4" t="inlineStr">
        <is>
          <t>PB</t>
        </is>
      </c>
      <c r="M210" s="6" t="inlineStr">
        <is>
          <t>India</t>
        </is>
      </c>
      <c r="N210" s="21" t="inlineStr">
        <is>
          <t>2025-06-25</t>
        </is>
      </c>
      <c r="O210" s="4" t="n">
        <v>740</v>
      </c>
      <c r="P210" s="44" t="n">
        <v>895</v>
      </c>
      <c r="Q210" s="6" t="n">
        <v>23.5</v>
      </c>
      <c r="R210" s="6" t="n">
        <v>17</v>
      </c>
      <c r="S210" s="6" t="n">
        <v>2.5</v>
      </c>
      <c r="T210" s="6" t="n">
        <v>1000</v>
      </c>
    </row>
    <row r="211" ht="20.1" customHeight="1">
      <c r="A211" s="6" t="n">
        <v>210</v>
      </c>
      <c r="B211" s="4" t="inlineStr">
        <is>
          <t>Law</t>
        </is>
      </c>
      <c r="C211" s="4" t="inlineStr">
        <is>
          <t>OakBridge</t>
        </is>
      </c>
      <c r="D211" s="10" t="n">
        <v>9788198874078</v>
      </c>
      <c r="E211" s="10" t="inlineStr">
        <is>
          <t>B0FJLG4Y31</t>
        </is>
      </c>
      <c r="F211" s="6" t="inlineStr">
        <is>
          <t>OakBridge</t>
        </is>
      </c>
      <c r="G211" s="4" t="inlineStr">
        <is>
          <t>OakBridge’s Primary Law Series Bharatiya Nagarik Suraksha Sanhita, 2023 (46 of 2023)</t>
        </is>
      </c>
      <c r="H211" s="7" t="inlineStr">
        <is>
          <t>This publication serves as a definitive guide to the Bharatiya Nagarik Suraksha Sanhita (BNSS), 2023, furnishing an exhaustive comparative review with the Code of Criminal Procedure, 1973. It is an invaluable tool for the judiciary, legal professionals, enforcement agencies, government bodies, students, and the general public.
Key Features -
- Text on Bharatiya Nagarik Suraksha Sanhita, 2023
- Latest Case Law
- Essentials of each section highlighted
- Table showing new sections of Bharatiya Nagarik Suraksha Sanhita, 2023
- Table showing sections of Code of Criminal Procedure, 1973 repealed by Bharatiya Nagarik Suraksha Sanhita, 2023
- Table showing timelines for various stages of trial
- Contextual Explanations and Interpretations</t>
        </is>
      </c>
      <c r="I211" s="7" t="inlineStr">
        <is>
          <t xml:space="preserve">OakBridge is a new age information services company established to re-establish the craft of publishing to better-serve the evolved needs of today’s Professionals and Academia. It is uniquely designed to have a strong framework of authoritative and reliable content, ethical and transparent business practices, operational excellence, and an unparalleled customer experience.
</t>
        </is>
      </c>
      <c r="J211" s="4" t="n">
        <v>1</v>
      </c>
      <c r="K211" s="4" t="inlineStr">
        <is>
          <t>English</t>
        </is>
      </c>
      <c r="L211" s="4" t="inlineStr">
        <is>
          <t>PB</t>
        </is>
      </c>
      <c r="M211" s="6" t="inlineStr">
        <is>
          <t>India</t>
        </is>
      </c>
      <c r="N211" s="21" t="inlineStr">
        <is>
          <t>2025-06-26</t>
        </is>
      </c>
      <c r="O211" s="4" t="n">
        <v>460</v>
      </c>
      <c r="P211" s="44" t="n">
        <v>450</v>
      </c>
      <c r="Q211" s="6" t="n">
        <v>24</v>
      </c>
      <c r="R211" s="6" t="n">
        <v>16</v>
      </c>
      <c r="S211" s="6" t="n">
        <v>2.5</v>
      </c>
      <c r="T211" s="6" t="n">
        <v>600</v>
      </c>
    </row>
    <row r="212" ht="20.1" customHeight="1">
      <c r="A212" s="6" t="n">
        <v>211</v>
      </c>
      <c r="B212" s="4" t="inlineStr">
        <is>
          <t>Law</t>
        </is>
      </c>
      <c r="C212" s="4" t="inlineStr">
        <is>
          <t>OakBridge</t>
        </is>
      </c>
      <c r="D212" s="10" t="n">
        <v>9788198751270</v>
      </c>
      <c r="E212" s="10" t="inlineStr">
        <is>
          <t>B0FJLFJY6W</t>
        </is>
      </c>
      <c r="F212" s="6" t="inlineStr">
        <is>
          <t>SS Naganand</t>
        </is>
      </c>
      <c r="G212" s="4" t="inlineStr">
        <is>
          <t>Story of the Clan – A Legacy Untold</t>
        </is>
      </c>
      <c r="H212" s="7" t="inlineStr">
        <is>
          <t>Story of the Clan – A Legend Untold brings to life the journey of an erudite and illustrious family spanning over 200 years. Narrated by the renowned Senior Advocate, SS Naganand, the author chronicles the lives of his distinguished ancestors and their contributions to the society. The book interweaves their professional, personal and spiritual lives seamlessly. Recounting episodes and incidents from his life, the author shares the lessons that have been instrumental in his professional success as well as personal &amp; spiritual harmony. Written in an anecdotal and lucid style, the narrative is both informative as well as engaging. The book comprises experiences relating to myriad subjects including history, law, travel, spirituality, and traditions. It is fascinating to see the thread of values that runs through the different generations in the family that has paved way for advancements in life while being firmly grounded. The story that is unfolded will inspire many, from different walks of life, especially the young generation, who can imbibe the life lessons in the book towards a harmonious, holistic and successful life.</t>
        </is>
      </c>
      <c r="I212" s="6" t="inlineStr">
        <is>
          <t>An LLB, triple Gold Medallist, a qualified Chartered Accountant with a national merit rank to his credit, and the recipient of a ‘Living Legend of the Law’ Award conferred upon him by the Bar Association of India, S S Naganand begun his legal career spanning almost four decades, in the year 1981. He was designated Senior Advocate by the High Court of Karnataka in 2003 and is currently serving as the Vice President of the Bar Association of India. As founder and Senior Partner at Justlaw, SS Naganand’s practice spans Corporate and Commercial Laws, International Trade and Business Laws, Taxation Laws, Intellectual Property Law, Infrastructure, Power &amp; Electricity Laws, Venture Capital Investments, Insolvency and Bankruptcy law, Arbitration, Mediation and Land Laws. This is supplemented by a strong pro bono practice that ensures that his love for the law is as alive as his strong commitment to contributing to society. SS Naganand has contributed to papers and publications on a range of subjects and topics. He is also actively involved in multifarious social initiatives.</t>
        </is>
      </c>
      <c r="J212" s="4" t="n">
        <v>1</v>
      </c>
      <c r="K212" s="4" t="inlineStr">
        <is>
          <t>English</t>
        </is>
      </c>
      <c r="L212" s="4" t="inlineStr">
        <is>
          <t>PB</t>
        </is>
      </c>
      <c r="M212" s="6" t="inlineStr">
        <is>
          <t>India</t>
        </is>
      </c>
      <c r="N212" s="21" t="inlineStr">
        <is>
          <t>2025-06-26</t>
        </is>
      </c>
      <c r="O212" s="4" t="n">
        <v>350</v>
      </c>
      <c r="P212" s="44" t="n">
        <v>795</v>
      </c>
      <c r="Q212" s="6" t="n">
        <v>24</v>
      </c>
      <c r="R212" s="6" t="n">
        <v>16</v>
      </c>
      <c r="S212" s="6" t="n">
        <v>2.5</v>
      </c>
      <c r="T212" s="6" t="n">
        <v>500</v>
      </c>
    </row>
    <row r="213" ht="20.1" customHeight="1">
      <c r="A213" s="6" t="n">
        <v>212</v>
      </c>
      <c r="B213" s="4" t="inlineStr">
        <is>
          <t>Law</t>
        </is>
      </c>
      <c r="C213" s="4" t="inlineStr">
        <is>
          <t>OakBridge</t>
        </is>
      </c>
      <c r="D213" s="10" t="n">
        <v>9788198661197</v>
      </c>
      <c r="E213" s="10" t="inlineStr">
        <is>
          <t>B0FJLLD5TR</t>
        </is>
      </c>
      <c r="F213" s="7" t="inlineStr">
        <is>
          <t>Arvind P Bhanu
Prabhdeep Kaur Malhotra</t>
        </is>
      </c>
      <c r="G213" s="4" t="inlineStr">
        <is>
          <t>Protection of Trademarks: A Glimpse of Landmark Judgments</t>
        </is>
      </c>
      <c r="H213" s="7" t="inlineStr">
        <is>
          <t>Protection of Trademarks: A Glimpse of Landmark Judgments delves deeply into the pivotal judgments shaping trademark law. The book meticulously navigates the intricate legal landscapes governing trademark protection, shedding light on landmark decisions that have shaped and continue to influence jurisprudence. The book offers a comparative perspective on how different legal systems address similar challenges. It underscores the evolving nature of trademark law as it grapples with the challenges posed by globalization, technological advancements, and the digital economy.
The book explores a wide array of diverse and timely topics including the protection of non-conventional marks and trade dress, comparative advertising, the concept of deceptive similarity, and trademark infringement in the digital age. The book also addresses emerging issues such as cybersquatting, the role of blockchain technology, and the intersection of cultural heritage with trademark rights. Authored by seasoned professionals, scholars, and practitioners in the field, this book is an invaluable resource for understanding the complexities of trademark protection in an increasingly interconnected and digitalized world. An essential read for legal practitioners, academics, policymakers, students, and business professionals.</t>
        </is>
      </c>
      <c r="I213" s="7" t="inlineStr">
        <is>
          <t>Prof (Dr) Arvind P Bhanu has been working in the field of law for more than three decades and has held several positions at various institutes, ascending from Assistant Professor to Principal and Head. Currently, Dr Bhanu is working as Professor of Law and Research, and Additional Director/Joint Head, ALSN, Amity University, Noida.
Dr Prabhdeep Kaur Malhotra is an academician currently working as an Assistant Professor at Amity Law School, Amity University, Noida, India. She has experience of working as an Associate Researcher in the government administration industry and public policy departments. She has previously worked in the Ministry of Corporate Affairs, Ministry of Law and Justice, and as a Public Policy Professional in the IPR Department of various Associations of India.</t>
        </is>
      </c>
      <c r="J213" s="4" t="n">
        <v>1</v>
      </c>
      <c r="K213" s="4" t="inlineStr">
        <is>
          <t>English</t>
        </is>
      </c>
      <c r="L213" s="4" t="inlineStr">
        <is>
          <t>PB</t>
        </is>
      </c>
      <c r="M213" s="6" t="inlineStr">
        <is>
          <t>India</t>
        </is>
      </c>
      <c r="N213" s="21" t="inlineStr">
        <is>
          <t>2025-06-19</t>
        </is>
      </c>
      <c r="O213" s="4" t="n">
        <v>428</v>
      </c>
      <c r="P213" s="44" t="n">
        <v>995</v>
      </c>
      <c r="Q213" s="6" t="n">
        <v>24</v>
      </c>
      <c r="R213" s="6" t="n">
        <v>16</v>
      </c>
      <c r="S213" s="6" t="n">
        <v>2.5</v>
      </c>
      <c r="T213" s="6" t="n">
        <v>700</v>
      </c>
    </row>
    <row r="214" ht="20.1" customHeight="1">
      <c r="A214" s="6" t="n">
        <v>213</v>
      </c>
      <c r="B214" s="4" t="inlineStr">
        <is>
          <t>Law</t>
        </is>
      </c>
      <c r="C214" s="4" t="inlineStr">
        <is>
          <t>OakBridge</t>
        </is>
      </c>
      <c r="D214" s="10" t="n">
        <v>9788198661142</v>
      </c>
      <c r="E214" s="10" t="inlineStr">
        <is>
          <t>B0FJLFR96W</t>
        </is>
      </c>
      <c r="F214" s="6" t="inlineStr">
        <is>
          <t>Richa Kachhwaha</t>
        </is>
      </c>
      <c r="G214" s="4" t="inlineStr">
        <is>
          <t>The Art of Legal Writing (2/e)</t>
        </is>
      </c>
      <c r="H214" s="7" t="inlineStr">
        <is>
          <t>The Art of Legal Writing (Practicing Lawyers to Successful Professionals), first published in 2019, was meant to help young lawyers and law students make an impact with their writing. Understanding how the human mind absorbs information and applying those principles while writing were the key takeaways of the book. Given the lack of literature in India on the art and nuances of legal writing, the book attempted to fill the void. In recent years, the buzz around the evolving role of technology in legal practice has gained traction. The pace and extent to which technology is making an impact on the practice of law, particularly the developments in Artificial Intelligence (AI) legal tools, demands a new discussion. These advancements, their potential to alter the practice of law, as well as the pitfalls of over dependence on deep technology, have been extensively discussed in a new chapter introduced in this edition titled &amp;ldquo;Artificial Intelligence in Law: A Turning Point or Hype.&amp;rdquo; The author maintains the fine balance between the potential of AI to transform the practice of law and its limitations in handling critical legal work without lawyers&amp;rsquo; supervision.
This second edition will be valuable for lawyers and legal professionals looking to leverage AI to enhance efficiency without lowering the quality and integrity of their legal work.</t>
        </is>
      </c>
      <c r="I214" s="6" t="inlineStr">
        <is>
          <t>Richa Kachhwaha has over 20 years of experience in legal writing, editing, and research. She completed her LL B from Campus Law Centre, Delhi University in 1999 and holds a Masters (LL M) degree from London School of Economics &amp;amp; Political Science. She is a member of the Bar Council of Delhi and a qualified Solicitor of The Supreme Court of England and Wales. Richa is a former Senior Legal Editor at LexisNexis India and former Consulting Editor of Lex Witness. She was the Managing Editor of LiveLaw and was part of the founding team which launched the website in 2013. The first edition of her book was published in 2019 by Oakbridge Publishing.</t>
        </is>
      </c>
      <c r="J214" s="4" t="n">
        <v>2</v>
      </c>
      <c r="K214" s="4" t="inlineStr">
        <is>
          <t>English</t>
        </is>
      </c>
      <c r="L214" s="4" t="inlineStr">
        <is>
          <t>PB</t>
        </is>
      </c>
      <c r="M214" s="6" t="inlineStr">
        <is>
          <t>India</t>
        </is>
      </c>
      <c r="N214" s="21" t="inlineStr">
        <is>
          <t>2025-06-19</t>
        </is>
      </c>
      <c r="O214" s="4" t="n">
        <v>320</v>
      </c>
      <c r="P214" s="44" t="n">
        <v>695</v>
      </c>
      <c r="Q214" s="6" t="n">
        <v>24</v>
      </c>
      <c r="R214" s="6" t="n">
        <v>16</v>
      </c>
      <c r="S214" s="6" t="n">
        <v>2.5</v>
      </c>
      <c r="T214" s="6" t="n">
        <v>500</v>
      </c>
    </row>
    <row r="215" ht="20.1" customHeight="1">
      <c r="A215" s="6" t="n">
        <v>214</v>
      </c>
      <c r="B215" s="4" t="inlineStr">
        <is>
          <t>BGR</t>
        </is>
      </c>
      <c r="C215" s="4" t="inlineStr">
        <is>
          <t>Cursive</t>
        </is>
      </c>
      <c r="D215" s="10" t="n">
        <v>9788198751249</v>
      </c>
      <c r="E215" s="10" t="inlineStr">
        <is>
          <t>B0FJLJGZB7</t>
        </is>
      </c>
      <c r="F215" s="6" t="inlineStr">
        <is>
          <t>Garvika Mittal</t>
        </is>
      </c>
      <c r="G215" s="4" t="inlineStr">
        <is>
          <t>The Journey To The Earth of A Star</t>
        </is>
      </c>
      <c r="H215" s="7" t="inlineStr">
        <is>
          <t>A star curious about humans, and their thoughts about stars sets out for an adventure to the earth after reading about it from a book. Will the star be able to go to earth? Will it be able to get answers to his questions?</t>
        </is>
      </c>
      <c r="I215" s="6" t="inlineStr">
        <is>
          <t>Garvika Mittal is a 12 year old girl, studying in Delhi Public School Mathura Road, New Delhi. She has a creative mind and has a flair for writing stories of her own. Her vivid imagination has resulted in the publication of this storybook. She intends to bring her creativity to you all through a series of storybooks.</t>
        </is>
      </c>
      <c r="J215" s="4" t="n">
        <v>1</v>
      </c>
      <c r="K215" s="4" t="inlineStr">
        <is>
          <t>English</t>
        </is>
      </c>
      <c r="L215" s="4" t="inlineStr">
        <is>
          <t>HB</t>
        </is>
      </c>
      <c r="M215" s="6" t="inlineStr">
        <is>
          <t>India</t>
        </is>
      </c>
      <c r="N215" s="21" t="inlineStr">
        <is>
          <t>2025-07-01</t>
        </is>
      </c>
      <c r="O215" s="4" t="n">
        <v>16</v>
      </c>
      <c r="P215" s="44" t="n">
        <v>295</v>
      </c>
      <c r="Q215" s="6" t="n">
        <v>7.5</v>
      </c>
      <c r="R215" s="6" t="n">
        <v>7.5</v>
      </c>
      <c r="S215" s="6" t="n">
        <v>1.5</v>
      </c>
      <c r="T215" s="6" t="n">
        <v>250</v>
      </c>
    </row>
    <row r="216" ht="20.1" customHeight="1">
      <c r="A216" s="6" t="n">
        <v>215</v>
      </c>
      <c r="B216" s="4" t="inlineStr">
        <is>
          <t>Academic</t>
        </is>
      </c>
      <c r="C216" s="4" t="inlineStr">
        <is>
          <t>Edge</t>
        </is>
      </c>
      <c r="D216" s="10" t="n">
        <v>9788198751294</v>
      </c>
      <c r="E216" s="10" t="inlineStr">
        <is>
          <t>B0FJLFJ4CS</t>
        </is>
      </c>
      <c r="F216" s="6" t="inlineStr">
        <is>
          <t>Naveen Kumar Chandra</t>
        </is>
      </c>
      <c r="G216" s="4" t="inlineStr">
        <is>
          <t>Social Justice (2/e)</t>
        </is>
      </c>
      <c r="H216" s="7" t="inlineStr">
        <is>
          <t>Social Justice: An Overview of the Indian Landscape is an indispensable guide to navigate the complexities of social justice in India’s diverse and dynamic socio-political context. Designed specifically for aspirants of the UPSC Civil Services Examination (CSE) and scholars of Indian society, governance, and social justice, this comprehensive resource offers a structured exploration of key themes shaping India’s social fabric. This edition covers critical issues including caste, gender, religion, ethnicity, poverty, and governance, each supported by detailed analyses of legal frameworks, constitutional provisions, and landmark policies.
Discover - 
- Up-to-date International Rankings: Analyse India’s progress and challenges in global indices like the Human Development Index (HDI) and Gender Inequality Index (GII), along with specific insights into gender disparities and environmental challenges.
- Authoritative National Data: Access data from national reports on domestic violence prevalence, annual migration figures, female labour force participation, and policy impacts like MGNREGA’s reach and POSH Act compliance.
- Strategic Answer-Writing Tools: Learn to draft nuanced, multidimensional answers for UPSC Mains based on precise data points, co-relating it with constitutional provisions &amp; policies, and incorporating recent events and case law.
- Previous Years’ Questions: Includes previous years’ questions with indicative pointers to practice answer-writing.
Whether grappling with persistent challenges like caste-based discrimination and gender inequality, or understanding strides in poverty reduction and policy innovation, this book empowers you to engage critically with contemporary issues. It is more than just a resource; it is a valuable companion for those committed to understanding and advancing a more equitable and inclusive India.</t>
        </is>
      </c>
      <c r="I216" s="6" t="inlineStr">
        <is>
          <t>Naveen Kumar Chandra is an avid reader and prolific writer. He is also very interested in subjects and topics such as economics, philosophy, psychology, physics, astronomy, music and art. He also loves to paint and sketch. He writes on a variety of issues and topics and has published several books. He has a blog which he has been writing for over 10 years. Having graduated from IIT Roorkee, he is currently posted as ADM and AEO, ZP Dakshin Dinajpur District in the state of West Bengal.</t>
        </is>
      </c>
      <c r="J216" s="4" t="n">
        <v>2</v>
      </c>
      <c r="K216" s="4" t="inlineStr">
        <is>
          <t>English</t>
        </is>
      </c>
      <c r="L216" s="4" t="inlineStr">
        <is>
          <t>PB</t>
        </is>
      </c>
      <c r="M216" s="6" t="inlineStr">
        <is>
          <t>India</t>
        </is>
      </c>
      <c r="N216" s="21" t="inlineStr">
        <is>
          <t>2025-06-26</t>
        </is>
      </c>
      <c r="O216" s="4" t="n">
        <v>262</v>
      </c>
      <c r="P216" s="44" t="n">
        <v>295</v>
      </c>
      <c r="Q216" s="6" t="n">
        <v>23.5</v>
      </c>
      <c r="R216" s="6" t="n">
        <v>17</v>
      </c>
      <c r="S216" s="6" t="n">
        <v>2.5</v>
      </c>
      <c r="T216" s="6" t="n">
        <v>500</v>
      </c>
    </row>
    <row r="217" ht="20.1" customHeight="1">
      <c r="A217" s="6" t="n">
        <v>216</v>
      </c>
      <c r="B217" s="4" t="inlineStr">
        <is>
          <t>Law</t>
        </is>
      </c>
      <c r="C217" s="4" t="inlineStr">
        <is>
          <t>OakBridge</t>
        </is>
      </c>
      <c r="D217" s="10" t="n">
        <v>9788198751232</v>
      </c>
      <c r="E217" s="10" t="inlineStr">
        <is>
          <t>B0FJLFR46K</t>
        </is>
      </c>
      <c r="F217" s="6" t="inlineStr">
        <is>
          <t>K K Khandelwal</t>
        </is>
      </c>
      <c r="G217" s="4" t="inlineStr">
        <is>
          <t>Insight into the Bharatiya Nagarik Suraksha Sanhita, 2023 (set of 2 vols)</t>
        </is>
      </c>
      <c r="H217" s="7" t="inlineStr">
        <is>
          <t>Insight into the Bharatiya Nagarik Suraksha Sanhita, 2023 - A Comprehensive Commentary &amp; Analysis&lt;/strong&gt; provides an indispensable guide to understanding and navigating this pivotal new legislation. The author brings his vast administrative experience and a practical viewpoint on implementing such sweeping reforms, and dissects complex provisions, making them accessible to a diverse audience.
Replacing the outdated Code of Criminal Procedure (CrPC), the Bharatiya Nagarik Suraksha Sanhita, 2023 (BNSS) introduces crucial advancements, including the integration of electronic communication for legal processes, defined timelines for proceedings, provisions for trials in absentia, extended police custody with justification, and updated protocols for electronic evidence handling. It aims to foster a more just, efficient, and transparent criminal justice process by incorporating modern technology and reducing reliance on colonial-era laws.
This comprehensive work meticulously explores the BNSS's thirty-nine chapters and 531 sections, organized into eighty thematic units to enhance coherence and clarity. It offers a vital comparative analysis with the former CrPC, highlighting what is new or altered, and incorporates relevant case laws to provide practical insights into how these laws are likely to be interpreted and applied.
It is an essential read for practicing lawyers, legal academicians, members of the police and judiciary, law students, policymakers, scholars, and any citizen keen to understand the profound changes reshaping India's legal landscape. It serves as a definitive resource for navigating the complexities of this reform, enriching understanding, and inspiring thoughtful engagement with the future of law and justice in India.</t>
        </is>
      </c>
      <c r="I217" s="6"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managements.</t>
        </is>
      </c>
      <c r="J217" s="4" t="n">
        <v>1</v>
      </c>
      <c r="K217" s="4" t="inlineStr">
        <is>
          <t>English</t>
        </is>
      </c>
      <c r="L217" s="4" t="inlineStr">
        <is>
          <t>HB</t>
        </is>
      </c>
      <c r="M217" s="6" t="inlineStr">
        <is>
          <t>India</t>
        </is>
      </c>
      <c r="N217" s="21" t="inlineStr">
        <is>
          <t>2025-06-26</t>
        </is>
      </c>
      <c r="O217" s="4" t="n">
        <v>2392</v>
      </c>
      <c r="P217" s="44" t="n">
        <v>4995</v>
      </c>
      <c r="Q217" s="6" t="n">
        <v>24.8</v>
      </c>
      <c r="R217" s="6" t="n">
        <v>16.3</v>
      </c>
      <c r="S217" s="6" t="n">
        <v>3.5</v>
      </c>
      <c r="T217" s="6" t="n">
        <v>3000</v>
      </c>
    </row>
    <row r="218" ht="20.1" customHeight="1">
      <c r="A218" s="6" t="n">
        <v>217</v>
      </c>
      <c r="B218" s="4" t="inlineStr">
        <is>
          <t>Academic</t>
        </is>
      </c>
      <c r="C218" s="4" t="inlineStr">
        <is>
          <t>Edge</t>
        </is>
      </c>
      <c r="D218" s="10" t="n">
        <v>9788198661111</v>
      </c>
      <c r="E218" s="10" t="inlineStr">
        <is>
          <t>B0FKGL5296</t>
        </is>
      </c>
      <c r="F218" s="6" t="inlineStr">
        <is>
          <t>R Rajagopalan</t>
        </is>
      </c>
      <c r="G218" s="4" t="inlineStr">
        <is>
          <t>Environment and Ecology With Disaster Management 5/e</t>
        </is>
      </c>
      <c r="H218" s="7" t="inlineStr">
        <is>
          <t>A Complete Guide on Environment, Ecology and Disaster Management for the Civil Services Preliminary and Main Examinations as well as the Indian Forest Service Examination.
Exhaustive Coverage including concepts, policies, agreements and conventions
Question-Answer format aids exam oriented preparation
Fully solved questions from 2025 Prelims
Bullet points help retention of key points
Suggested Strategy based on Question Papers from 2011-25
Exhaustive Coverage True Stories facilitate conceptual understanding
Critical Thinking inculcated to stand out in the competition
Effective Study based on SQ4R Method
Current Affairs on Scroll Stack - https://profrr.stck.me/</t>
        </is>
      </c>
      <c r="I218" s="6" t="inlineStr">
        <is>
          <t>Prof. R Rajagopalan is a former Professor at IIT Madras. He has authored 25 books on environment for Civil Services Examination, schools, colleges, and the general public.</t>
        </is>
      </c>
      <c r="J218" s="4" t="n">
        <v>5</v>
      </c>
      <c r="K218" s="4" t="inlineStr">
        <is>
          <t>English</t>
        </is>
      </c>
      <c r="L218" s="4" t="inlineStr">
        <is>
          <t>PB</t>
        </is>
      </c>
      <c r="M218" s="6" t="inlineStr">
        <is>
          <t>India</t>
        </is>
      </c>
      <c r="N218" s="21" t="n">
        <v>45868</v>
      </c>
      <c r="O218" s="4" t="n">
        <v>562</v>
      </c>
      <c r="P218" s="44" t="n">
        <v>650</v>
      </c>
      <c r="Q218" s="6" t="n">
        <v>23.5</v>
      </c>
      <c r="R218" s="6" t="n">
        <v>17</v>
      </c>
      <c r="S218" s="6" t="n">
        <v>2.5</v>
      </c>
      <c r="T218" s="6" t="n">
        <v>800</v>
      </c>
    </row>
    <row r="219" ht="20.1" customHeight="1">
      <c r="A219" s="6" t="n">
        <v>218</v>
      </c>
      <c r="B219" s="4" t="inlineStr">
        <is>
          <t>BGR</t>
        </is>
      </c>
      <c r="C219" s="4" t="inlineStr">
        <is>
          <t>Cursive</t>
        </is>
      </c>
      <c r="D219" s="10" t="n">
        <v>9788198661135</v>
      </c>
      <c r="E219" s="10" t="n">
        <v>8198661131</v>
      </c>
      <c r="F219" s="6" t="inlineStr">
        <is>
          <t>Shilpa Bhasin Mehra</t>
        </is>
      </c>
      <c r="G219" s="4" t="inlineStr">
        <is>
          <t>Unfiltered and Unapologetic</t>
        </is>
      </c>
      <c r="H219" s="7" t="inlineStr">
        <is>
          <t>Unfiltered and Unapologetic invites you to engage with words intended to offer something meaningful, resonant, and inspiring. Perhaps you, too, will uncover something new about yourself within these pages.
Spanning diverse topics that impact everyone in their daily lives, the book delves into essential areas including Interpersonal Communication and Relationships, Personal Growth &amp; Self-Empowerment, Social Etiquette and Norms, Perspective and Reflection on Life, and Workplace Dynamics and Professionalism. Though varied in theme, each piece is united by a central question: How can we navigate this world with grace, purpose, kindness, and authenticity?
A powerful collection of articles, born from a journey shaped by personal experience and a deep passion for writing. What began as a lifeline during rehabilitation from viral meningitis in 2003 blossomed into a career by chance, with articles previously shared with a global audience. Inspired by both individual challenges and collective experiences like the COVID-19 pandemic in 2020, this book brings together writings that reflect the author’s own struggles, triumphs questions, and discoveries, interwoven with wisdom from others.</t>
        </is>
      </c>
      <c r="I219" s="6" t="inlineStr">
        <is>
          <t>Shilpa Bhasin Mehra has over 30 years of legal experience in the UAE. She has been the Head of Legal at global companies, as is now an independent legal consultant. Shilpa is the recipient of many awards for legal excellence and writing skills. She was also awarded the UAE Golden Visa in 2022 for her intellectual contributions. Shilpa lives in Dubai with her husband and two sons.</t>
        </is>
      </c>
      <c r="J219" s="4" t="n">
        <v>1</v>
      </c>
      <c r="K219" s="4" t="inlineStr">
        <is>
          <t>English</t>
        </is>
      </c>
      <c r="L219" s="4" t="inlineStr">
        <is>
          <t>PB</t>
        </is>
      </c>
      <c r="M219" s="6" t="inlineStr">
        <is>
          <t>India</t>
        </is>
      </c>
      <c r="N219" s="21" t="n">
        <v>45874</v>
      </c>
      <c r="O219" s="4" t="n">
        <v>226</v>
      </c>
      <c r="P219" s="44" t="n">
        <v>495</v>
      </c>
      <c r="Q219" s="6" t="n">
        <v>21.5</v>
      </c>
      <c r="R219" s="6" t="n">
        <v>14</v>
      </c>
      <c r="S219" s="6" t="n">
        <v>2.5</v>
      </c>
      <c r="T219" s="6" t="n">
        <v>450</v>
      </c>
    </row>
    <row r="220" ht="20.1" customHeight="1">
      <c r="A220" s="6" t="n">
        <v>219</v>
      </c>
      <c r="B220" s="6" t="inlineStr">
        <is>
          <t>Academic</t>
        </is>
      </c>
      <c r="C220" s="6" t="inlineStr">
        <is>
          <t>Edge</t>
        </is>
      </c>
      <c r="D220" s="10" t="n">
        <v>9789389176070</v>
      </c>
      <c r="E220" s="6" t="inlineStr">
        <is>
          <t>B07VKT6SYZ</t>
        </is>
      </c>
      <c r="F220" s="6" t="inlineStr">
        <is>
          <t>OakBridge</t>
        </is>
      </c>
      <c r="G220" s="6" t="inlineStr">
        <is>
          <t>Q&amp;A: Part 1: Indian Art and Culture</t>
        </is>
      </c>
      <c r="H220" s="7" t="inlineStr">
        <is>
          <t>Q&amp;A Series Part 1 – Indian Art and Culture has been written for the aspirants of Civil Services (Preliminary) Examination. It will also help the students in the preparation of various state services examinations.
Keeping in view the new syllabi and the changing trends of Civil Services (Preliminary) Examination, the book provides practice questions on the various topics of Indian Art and Culture.
These questions are in consonance with the latest pattern of the UPSC. In order to develop a comprehensive insight on the topics, each chapter is followed by an elaborate explanation of the questions provided in that chapter. Explanations have been written in a manner to help the aspirants to tackle the other questions related to the topic.
Key features :-
- Provides topic-wise practice questions
- Provides detailed solutions to the questions
- Based on the latest pattern of the Civil Services (Preliminary) Examination
- Presents additional practice set on the subject, for the purpose of self-assessment
The series comprises eight practice workbooks related to the various subjects mentioned in the syllabus of CSE. These books provide questions, along with their solutions, on the various topics of the subjects, to make the students thorough with the pattern of Civil Services (Preliminary) Examination.
Q&amp;A Series has been written as an adjunct to our General Studies Series. Hence, it is mapped to the eight books of General Studies series. The idea is to aid the self-assessment process, once the aspirant has gone through the eight books of General Studies Series.
The book has been prepared by the Content Team of Oakbridge under the guidence of faculties.</t>
        </is>
      </c>
      <c r="I220" s="6" t="inlineStr">
        <is>
          <t>OakBridge is a new age information services company established to re-establish the craft of publishing to better-serve the evolved needs of today’s Professionals and Academia. It is uniquely designed to have a strong framework of authoritative and reliab</t>
        </is>
      </c>
      <c r="J220" s="6" t="n">
        <v>1</v>
      </c>
      <c r="K220" s="6" t="inlineStr">
        <is>
          <t>English</t>
        </is>
      </c>
      <c r="L220" s="6" t="inlineStr">
        <is>
          <t>PB</t>
        </is>
      </c>
      <c r="M220" s="6" t="inlineStr">
        <is>
          <t>India</t>
        </is>
      </c>
      <c r="N220" s="21" t="n">
        <v>43709</v>
      </c>
      <c r="O220" s="6" t="n">
        <v>314</v>
      </c>
      <c r="P220" s="45" t="n">
        <v>295</v>
      </c>
      <c r="Q220" s="6" t="n">
        <v>24</v>
      </c>
      <c r="R220" s="6" t="n">
        <v>18.5</v>
      </c>
      <c r="S220" s="6" t="n">
        <v>2.5</v>
      </c>
      <c r="T220" s="6" t="n">
        <v>450</v>
      </c>
    </row>
    <row r="221" ht="20.1" customHeight="1">
      <c r="A221" s="6" t="n">
        <v>220</v>
      </c>
      <c r="B221" s="6" t="inlineStr">
        <is>
          <t>Law</t>
        </is>
      </c>
      <c r="C221" s="6" t="inlineStr">
        <is>
          <t>OakBridge</t>
        </is>
      </c>
      <c r="D221" s="10" t="n">
        <v>9788198874054</v>
      </c>
      <c r="E221" s="6" t="inlineStr">
        <is>
          <t>B0FPG2MQXQ</t>
        </is>
      </c>
      <c r="F221" s="6" t="inlineStr">
        <is>
          <t>K K Khandelwal</t>
        </is>
      </c>
      <c r="G221" s="6" t="inlineStr">
        <is>
          <t>Handbook for Executive Magistrates</t>
        </is>
      </c>
      <c r="H221" s="7" t="inlineStr">
        <is>
          <t>Handbook for Executive Magistrates aims to fill a long-standing void for a comprehensive and structured reference work concerning the roles, responsibilities, and powers of Executive Magistrates. The book comes at a critical juncture as Bharatiya Nagarik Suraksha Sanhita, 2023 (BNSS) replaces the Code of Criminal Procedure, 1973.
Spanning over ten parts and forty-five chapters, the book provides an exhaustive exposition of law, practice, and jurisprudence applicable to Executive Magistrates. It covers every significant dimension of their role, including appointment, statutory powers, and quasi-judicial functions in areas such as preventive justice, security proceedings, inquests, dying declarations, and test identification parades. The book also delves into other crucial areas including the maintenance of public order, control of public nuisance, defamation, contempt, and disciplinary jurisdiction.
The book is designed to be a handbook focusing on practical applicability. It achieves this by interspersing legal theory with Standard Operating Procedures (SOPs), actionable checklists, and ready-to-use formats for drafting orders and conducting proceedings. Covering landmark and critical case law, the book simplifies complex procedural requirements and offers conceptual clarity.
The book will be a valuable manual for young officers, experienced administrators, academicians, trainers, public prosecutors, and senior civil servants.</t>
        </is>
      </c>
      <c r="I221" s="7"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managements.
Apoorva Kumar Singh, a 1991-batch office of the Indian Administrative Service (IAS), is presently serving as the Additional Chief Secretary to the Government of Haryana, Energy Department with the additional charge of the Town &amp; Country Planning and Urban Estates Department. Over the course of his illustrious career, Mr Singh has held several key positions, where he demonstrated outstanding leadership and dedication to public service. An alumnus of IIT Delhi with MS from United States. He also holds LLB from Panjab University, Chandigarh and LLM (Pro) from NLU Delhi. He is an accomplished author of several books.</t>
        </is>
      </c>
      <c r="J221" s="6" t="n">
        <v>1</v>
      </c>
      <c r="K221" s="6" t="inlineStr">
        <is>
          <t>English</t>
        </is>
      </c>
      <c r="L221" s="6" t="inlineStr">
        <is>
          <t>HB</t>
        </is>
      </c>
      <c r="M221" s="6" t="inlineStr">
        <is>
          <t>India</t>
        </is>
      </c>
      <c r="N221" s="21" t="n">
        <v>45902</v>
      </c>
      <c r="O221" s="6" t="n">
        <v>1016</v>
      </c>
      <c r="P221" s="45" t="n">
        <v>2495</v>
      </c>
      <c r="Q221" s="6" t="n">
        <v>24.8</v>
      </c>
      <c r="R221" s="6" t="n">
        <v>16.3</v>
      </c>
      <c r="S221" s="6" t="n">
        <v>2.5</v>
      </c>
      <c r="T221" s="6" t="n">
        <v>1600</v>
      </c>
    </row>
    <row r="222" ht="20.1" customHeight="1">
      <c r="A222" s="6" t="n">
        <v>221</v>
      </c>
      <c r="B222" s="6" t="inlineStr">
        <is>
          <t>Law</t>
        </is>
      </c>
      <c r="C222" s="6" t="inlineStr">
        <is>
          <t>OakBridge</t>
        </is>
      </c>
      <c r="D222" s="10" t="n">
        <v>9788198661128</v>
      </c>
      <c r="E222" s="6" t="inlineStr">
        <is>
          <t>B0FQNYRSXG</t>
        </is>
      </c>
      <c r="F222" s="6" t="inlineStr">
        <is>
          <t>Dr B S Patil</t>
        </is>
      </c>
      <c r="G222" s="6" t="inlineStr">
        <is>
          <t>In Search of Courtroom Ethics</t>
        </is>
      </c>
      <c r="H222" s="7" t="inlineStr">
        <is>
          <t>"No part of the law can be learnt exclusively through study – practise is always essential". This profound truth lies at the heart of In Search of Courtroom Ethics, a unique part-memoir and part-guide-book that boldly addresses the familiar conflict between personal morality and professional ethics faced by every lawyer.
Drawing inspiration from illuminating incidents like Sir Edward Marshall Hall's refusal to shake an acquitted client's hand—a gesture not "included in the etiquette of the Bar"—this book masterfully weaves compelling narratives around vital legal principles. Readers will follow "the Tusker," the author’s well-earned moniker reflecting their plain-speaking and adherence to the straight path of the law, gaining invaluable, non-textbook insight into the intricacies of the Indian legal system.
Through thoughtful meditations and entertaining anecdotes "ripped straight out of the strange and wonderful world of the trial courts," the author explores the nuanced interplay of duty, morality, skill, and deference crucial for a successful legal career. This is a book crafted not to spoon-feed information, but to encourage independent thought and create knowledge, leaving readers with questions that foster their own rumination.
For practising lawyers, it offers a deep reflection on their craft; for law students, a forearmed glimpse into their future; and for the general reader, a fascinating window into the oftenopaque world of justice. As the author states, ethics are not taught in classrooms but are "imparted through conduct, not instruction; through example and inspiration".</t>
        </is>
      </c>
      <c r="I222" s="7" t="inlineStr">
        <is>
          <t>Dr. B.S. Patil is an Associate Professor at V.M. Salgaocar College of Law, Goa, where he has taught for over two decades. A legal educator and academic coach, his work spans Courtroom Ethics, Disability Rights, Alternative Dispute Resolution, and Criminal Law. He holds a Ph.D. in Human Rights of Disabled Persons. His passion for justice has led him to design modules on client counselling, negotiation, and conflict management, and to serve as a national consultant on elder rights and adoption law. He has published extensively, trained educators nationwide, and contributed to national initiatives including UGC e-Pathshala and CARA.</t>
        </is>
      </c>
      <c r="J222" s="6" t="n">
        <v>1</v>
      </c>
      <c r="K222" s="6" t="inlineStr">
        <is>
          <t>English</t>
        </is>
      </c>
      <c r="L222" s="6" t="inlineStr">
        <is>
          <t>PB</t>
        </is>
      </c>
      <c r="M222" s="6" t="inlineStr">
        <is>
          <t>India</t>
        </is>
      </c>
      <c r="N222" s="21" t="n">
        <v>45911</v>
      </c>
      <c r="O222" s="6" t="n">
        <v>196</v>
      </c>
      <c r="P222" s="45" t="n">
        <v>495</v>
      </c>
      <c r="Q222" s="6" t="n">
        <v>21.5</v>
      </c>
      <c r="R222" s="6" t="n">
        <v>14</v>
      </c>
      <c r="S222" s="6" t="n">
        <v>2.5</v>
      </c>
      <c r="T222" s="6" t="n">
        <v>400</v>
      </c>
    </row>
    <row r="223" ht="20.1" customHeight="1">
      <c r="A223" s="6" t="n">
        <v>222</v>
      </c>
      <c r="B223" s="6" t="inlineStr">
        <is>
          <t>Law</t>
        </is>
      </c>
      <c r="C223" s="6" t="inlineStr">
        <is>
          <t>OakBridge</t>
        </is>
      </c>
      <c r="D223" s="10" t="n">
        <v>9788198874009</v>
      </c>
      <c r="E223" s="6" t="inlineStr">
        <is>
          <t>B0FQJSLHKD</t>
        </is>
      </c>
      <c r="F223" s="6" t="inlineStr">
        <is>
          <t>N Vijayaraghavan and Sharath Chandran</t>
        </is>
      </c>
      <c r="G223" s="6" t="inlineStr">
        <is>
          <t>Bailed Out! Precept &amp; Practice of Bail Jurisprudence</t>
        </is>
      </c>
      <c r="H223" s="7" t="inlineStr">
        <is>
          <t>Bailed Out! Precept &amp; Practice of Bail Jurisprudence offers a comprehensive and assertive exploration of law of bail—an area of law that shapes the balance between liberty and justice. The book is based on the principle that "bail is the rule, jail is the exception". It connects this principle to the fundamental rights of life and liberty, rooted in the presumption of innocence, which states that an individual is considered innocent until proven guilty.
The book traces its journey from the debates of the Constituent Assembly to the pressing challenges of today. It provides detailed insights into critical areas such as the principles of arrest and remand, the complexities of anticipatory bail, and the unique considerations for bail in economic offences, including those under the Prevention of Money Laundering Act. Additionally, it courageously addresses the "Psychology and Trauma of the Jailed," advocating for systemic changes rather than superficial legal reforms to tackle the dilemmas within bail jurisprudence effectively.
It is an indispensable resource for law students, practitioners, policy makers, and anyone concerned with the protection of personal liberty in a just society.</t>
        </is>
      </c>
      <c r="I223" s="7" t="inlineStr">
        <is>
          <t>N Vijayaraghavan is a practising Advocate, Madras High Court, with over 3 decades of experience. He has authored several books like Constitution and its Making, Constitution and its Working &amp; Supreme Court of India. He has been a resource person with TN Judicial Academy, run by the Madras High Court and National Judicial Academy, Bhopal, run by the Supreme Court of India.
Sharath Chandran is an Advocate practising primarily at the Madras High Court. He completed his law from the ILS Law College, Pune and went on to read for the B.C.L from the University of Oxford. He has co-authored several books on the Constitution of India, Motor Vehicles Laws, Principles of Insurance Law, Law of Evidence et al.</t>
        </is>
      </c>
      <c r="J223" s="6" t="n">
        <v>1</v>
      </c>
      <c r="K223" s="6" t="inlineStr">
        <is>
          <t>English</t>
        </is>
      </c>
      <c r="L223" s="6" t="inlineStr">
        <is>
          <t>PB</t>
        </is>
      </c>
      <c r="M223" s="6" t="inlineStr">
        <is>
          <t>India</t>
        </is>
      </c>
      <c r="N223" s="21" t="n">
        <v>45910</v>
      </c>
      <c r="O223" s="6" t="n">
        <v>284</v>
      </c>
      <c r="P223" s="45" t="n">
        <v>695</v>
      </c>
      <c r="Q223" s="6" t="n">
        <v>24</v>
      </c>
      <c r="R223" s="6" t="n">
        <v>16</v>
      </c>
      <c r="S223" s="6" t="n">
        <v>2.5</v>
      </c>
      <c r="T223" s="6" t="n">
        <v>500</v>
      </c>
    </row>
    <row r="224" ht="20.1" customHeight="1">
      <c r="A224" s="6" t="n">
        <v>223</v>
      </c>
      <c r="B224" s="6" t="inlineStr">
        <is>
          <t>Law</t>
        </is>
      </c>
      <c r="C224" s="6" t="inlineStr">
        <is>
          <t>OakBridge</t>
        </is>
      </c>
      <c r="D224" s="10" t="n">
        <v>9788198874092</v>
      </c>
      <c r="E224" s="6" t="inlineStr">
        <is>
          <t>B0FS1M263T</t>
        </is>
      </c>
      <c r="F224" s="6" t="inlineStr">
        <is>
          <t>K K Khandelwal</t>
        </is>
      </c>
      <c r="G224" s="6" t="inlineStr">
        <is>
          <t>Insight into the Promotion and Regulation of Online Gaming Act, 2025</t>
        </is>
      </c>
      <c r="H224" s="7" t="inlineStr">
        <is>
          <t>he Promotion and Regulation of Online Gaming Act, 2025 is a landmark law that confronts this challenge head-on. This timely and rigorous guide offers an essential map to the Act’s balanced architecture—promoting what builds skill and community, while prohibiting what harms families and the financial system.
This book provides a clear, practice-ready framework for one of India’s most dynamic sectors. It meticulously unpacks the Act’s “bright line” approach: enabling and professionalising e-sports and safe social games while comprehensively banning stake-based “online money games” along with their advertising and payment channels.
Inside, you will discover
A Clear Operational Guide: Translate complex statutory language into actionable checklists and compliance playbooks for developers, platforms, investors, and payment intermediaries.
Comprehensive Prohibition Architecture: Understand the complete ban on offering, advertising, and funding online money games, and the robust enforcement powers designed to close offshore loopholes and tackle illicit finance risks.
Pathways for Growth and Innovation: Learn how the Act creates a stable legal environment to promote e-sports as a legitimate competitive sport and encourages the development of safe, age-appropriate social and educational games.
Institutional Framework Explained: Gain insight into the role of the National Online Gaming Authority, the calibrated penalties for offenses, and the due-process safeguards that ensure fair and transparent implementation.</t>
        </is>
      </c>
      <c r="I224" s="7"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managements.
Apoorva Kumar Singh, a 1991-batch office of the Indian Administrative Service (IAS), is presently serving as the Additional Chief Secretary to the Government of Haryana, Energy Department with the additional charge of the Town &amp; Country Planning and Urban Estates Department. Over the course of his illustrious career, Mr Singh has held several key positions, where he demonstrated outstanding leadership and dedication to public service. An alumnus of IIT Delhi with MS from United States. He also holds LLB from Panjab University, Chandigarh and LLM (Pro) from NLU Delhi. He is an accomplished author of several books.</t>
        </is>
      </c>
      <c r="J224" s="6" t="n">
        <v>1</v>
      </c>
      <c r="K224" s="6" t="inlineStr">
        <is>
          <t>English</t>
        </is>
      </c>
      <c r="L224" s="6" t="inlineStr">
        <is>
          <t>PB</t>
        </is>
      </c>
      <c r="M224" s="6" t="inlineStr">
        <is>
          <t>India</t>
        </is>
      </c>
      <c r="N224" s="21" t="n">
        <v>45922</v>
      </c>
      <c r="O224" s="6" t="n">
        <v>202</v>
      </c>
      <c r="P224" s="45" t="n">
        <v>695</v>
      </c>
      <c r="Q224" s="6" t="n">
        <v>24</v>
      </c>
      <c r="R224" s="6" t="n">
        <v>16</v>
      </c>
      <c r="S224" s="6" t="n">
        <v>2.5</v>
      </c>
      <c r="T224" s="6" t="n">
        <v>500</v>
      </c>
    </row>
    <row r="225" ht="20.1" customHeight="1">
      <c r="A225" s="6" t="n">
        <v>224</v>
      </c>
      <c r="B225" s="6" t="inlineStr">
        <is>
          <t>BGR</t>
        </is>
      </c>
      <c r="C225" s="6" t="inlineStr">
        <is>
          <t>Cursive</t>
        </is>
      </c>
      <c r="D225" s="10" t="n">
        <v>9788198874085</v>
      </c>
      <c r="E225" s="6" t="inlineStr">
        <is>
          <t>B0FRMGY84C</t>
        </is>
      </c>
      <c r="F225" s="6" t="inlineStr">
        <is>
          <t>Alok Misra</t>
        </is>
      </c>
      <c r="G225" s="6" t="inlineStr">
        <is>
          <t>Balance Sheet of the Soul (2/e)</t>
        </is>
      </c>
      <c r="H225" s="7" t="inlineStr">
        <is>
          <t>"Balance Sheet of The Soul“ by Alok Misra, is a story that encapsulates the essence of hard work, education, and the relentless pursuit of dreams. This book is a valuable addition to the works that are designed to inspire and uplift readers from all walks of life.
In this heartfelt memoir, I, Alok Misra, invite you to walk alongside me through the pivotal moments of my life. From the lessons learned at my family’s dining table to the entrepreneurial ventures that shaped my career, I hope my story inspires you to pursue your dreams with passion and perseverance. This book is a tribute to Mahavatar Babaji, Grihastha Yogi &amp; my ideal Sri Sri Lahiri Mahasaya, Swami Sri Yukteswar Giri Ji &amp; Gurudev Sri Sri Paramahansa Yogananda, my Grandparents, Parents, Parent-in-laws, Wife (Sunaina), Son (Anand).</t>
        </is>
      </c>
      <c r="I225" s="6" t="inlineStr">
        <is>
          <t xml:space="preserve">CA. Alok Misra, a distinguished professional with over 2 decades of expertise, is the esteemed founder and managing partner of Alok Misra &amp; Co., Chartered Accountants. His comprehensive practice spans across diverse domains, specializing in taxation, corporate laws, audit, advisory, FCRA, and more. Alok Misra holds the esteemed title of a fellow member of the Institute of Chartered Accountants of India (ICAI), showcasing his commitment to excellence. Additionally, he is also a Company Secretary from the Institute of Companies Secretaries of India and a Certified Information System Auditor from ICAI.Throughout his illustrious career, Alok has been a driving force in the realms of corporate governance, tax advisory, and audit &amp; assurance services.  Alok Misra is also recognized as the visionary promoter of "Vanprastha Resorts," a heaven of Yoga nestled in the Himalayas. </t>
        </is>
      </c>
      <c r="J225" s="6" t="n">
        <v>2</v>
      </c>
      <c r="K225" s="6" t="inlineStr">
        <is>
          <t>English</t>
        </is>
      </c>
      <c r="L225" s="6" t="inlineStr">
        <is>
          <t>PB</t>
        </is>
      </c>
      <c r="M225" s="6" t="inlineStr">
        <is>
          <t>India</t>
        </is>
      </c>
      <c r="N225" s="21" t="n">
        <v>45918</v>
      </c>
      <c r="O225" s="6" t="n">
        <v>242</v>
      </c>
      <c r="P225" s="45" t="n">
        <v>495</v>
      </c>
      <c r="Q225" s="6" t="n">
        <v>21.5</v>
      </c>
      <c r="R225" s="6" t="n">
        <v>14</v>
      </c>
      <c r="S225" s="6" t="n">
        <v>2.5</v>
      </c>
      <c r="T225" s="6" t="n">
        <v>400</v>
      </c>
    </row>
    <row r="226" ht="20.1" customHeight="1">
      <c r="A226" s="6" t="n">
        <v>225</v>
      </c>
      <c r="B226" s="6" t="inlineStr">
        <is>
          <t>BGR</t>
        </is>
      </c>
      <c r="C226" s="6" t="inlineStr">
        <is>
          <t>OakBridge</t>
        </is>
      </c>
      <c r="D226" s="10" t="n">
        <v>9788198874030</v>
      </c>
      <c r="E226" s="6" t="inlineStr">
        <is>
          <t>B0FR5BT4BM</t>
        </is>
      </c>
      <c r="F226" s="6" t="inlineStr">
        <is>
          <t>Dr Amit Nagpal</t>
        </is>
      </c>
      <c r="G226" s="6" t="inlineStr">
        <is>
          <t>Mastering Governance, Leadership, &amp; Strategic Storytelling</t>
        </is>
      </c>
      <c r="H226" s="7" t="inlineStr">
        <is>
          <t>In a world brimming with noise, data, and distractions, the ability to communicate clearly and inspire action is the ultimate superpower for any leader.
Mastering Governance, Leadership, and Strategic Storytelling unlocks this transformative power, drawing profound insights from the journey and communication mastery of Prime Minister Narendra Modi. From his humble beginnings as a tea vendor to becoming a global statesman, PM Modi’s story demonstrates how vision, relentless effort, and exceptional communication can shape national conversations and foster movements.
This essential guide goes beyond conventional branding, revealing the profound truth that ‘Bonding is more powerful than Branding’. Discover how to connect people not just to your message, but to you, building trust that serves as the real currency of leadership.
Inside, you'll find a practical blueprint for influence, featuring:
The 7E Framework for Strategic Storytelling: Learn to embody Empathy, foster Emotional Connect, deliver Edutainment, practice Evocation, master Eloquence, be Energizing, and engage on Multiple Platforms—strategies that win hearts and shape minds.
Checklists and Real-World Cases: Each chapter provides tactical steps and examples from PM Modi's high-stakes communication, showing how to transform policies into purpose and strategy into shared accomplishment.
Self-Reflection Tools: Uncover your own unique stories and experiences to become a more authentic and compelling communicator.
Whether you are a CEO, business leader, entrepreneur, social changemaker, or an aspiring executive, this book is your toolkit to cut through jargon, energize teams, attract talent, and mobilize diverse audiences. Learn to elevate your governance, build enduring trust, and leave a lasting legacy.
The world doesn’t just need more leaders; it needs more leaders with heart. Read on, reflect, and reimagine your own story – the world is waiting for your message.</t>
        </is>
      </c>
      <c r="I226" s="6" t="inlineStr">
        <is>
          <t>Dr. Amit Nagpal is a Story Coach, author and Founder of Your Board Profile. With one and half decades of experience in coaching CXOs, Independent Directors, and board-ready professionals, Dr. Nagpal has pioneered frameworks that blend governance, leadership, and narrative building. He is the author of five books, a columnist for leading board governance platforms, and a sought-after speaker at national and international forums. His expertise lies in helping leaders craft powerful narratives that resonate in boardrooms and beyond. Through his thought leadership, coaching, and community initiatives, he has empowered hundreds of leaders to become storytellers, change agents, and trusted voices in corporate governance.</t>
        </is>
      </c>
      <c r="J226" s="6" t="n">
        <v>1</v>
      </c>
      <c r="K226" s="6" t="inlineStr">
        <is>
          <t>English</t>
        </is>
      </c>
      <c r="L226" s="6" t="inlineStr">
        <is>
          <t>PB</t>
        </is>
      </c>
      <c r="M226" s="6" t="inlineStr">
        <is>
          <t>India</t>
        </is>
      </c>
      <c r="N226" s="21" t="n">
        <v>45929</v>
      </c>
      <c r="O226" s="6" t="n">
        <v>248</v>
      </c>
      <c r="P226" s="45" t="n">
        <v>695</v>
      </c>
      <c r="Q226" s="6" t="n">
        <v>21.5</v>
      </c>
      <c r="R226" s="6" t="n">
        <v>14</v>
      </c>
      <c r="S226" s="6" t="n">
        <v>2.5</v>
      </c>
      <c r="T226" s="6" t="n">
        <v>400</v>
      </c>
    </row>
    <row r="227" ht="20.1" customHeight="1">
      <c r="A227" s="6" t="n">
        <v>226</v>
      </c>
      <c r="B227" s="6" t="inlineStr">
        <is>
          <t>BGR</t>
        </is>
      </c>
      <c r="C227" s="6" t="inlineStr">
        <is>
          <t>Cursive</t>
        </is>
      </c>
      <c r="D227" s="10" t="n">
        <v>9788199305205</v>
      </c>
      <c r="E227" s="6" t="inlineStr">
        <is>
          <t>B0G2LLNSRJ</t>
        </is>
      </c>
      <c r="F227" s="6" t="inlineStr">
        <is>
          <t>Dr Tania Dehury</t>
        </is>
      </c>
      <c r="G227" s="6" t="inlineStr">
        <is>
          <t>Guardians of the Boardroom: A Strategic Guide To Boardroom Excellence, Ethical Leadership, And Risk Oversight</t>
        </is>
      </c>
      <c r="H227" s="7" t="inlineStr">
        <is>
          <t>In an era where trust, transparency, and accountability define corporate success, Guardians of the Boardroom: A Strategic Guide to Boardroom Excellence, Ethical Leadership, and Risk Oversight stands as a definitive call to action for modern corporate governance.
This landmark book explores the evolving role of Independent Directors - the sentinels of integrity who safeguard the conscience of corporate India. Through vivid case studies, eleven insightful chapters, and the Board Oversight Toolkit and Key Questions, it reveals how boardroom independence can move from principle to practice - from mere compliance to true conscience.
Covering critical dimensions of modern governance, the chapters include:
1. The Multifaceted Role of Independent Directors – Balancing committee duties and board responsibilities
2. The Owl in the Boardroom – Embodying wisdom and vigilance in corporate governance
3. Satyam, Shivam, Sundaram – A moral compass for ethical decision-making
4. Independent Directors in Crisis – Navigating corporate scandals, risk management, and high-stakes decisions
5. The Invisible Backbone – Questioning true independence in promoter-driven boards
6. Independent by Title, Dependent by Design – The illusion of autonomy in Indian boardrooms
7. Stewards of Sustainability – Expanding fiduciary duties in ESG and long-term value creation
8. Women Directors as Champions of ESG – Driving diversity, equity, and sustainability
9. Tone from the Top – Why boardroom ethics begin with Independent Directors
10. Tech, Trust, and Transparency – The digital governance challenge
11. Guardians of Tomorrow – Building the next generation of purpose-driven directors
12. Lessons from the Boardroom – Ten case studies illuminating governance in action
13. Board Oversight Toolkit and Key Questions – Strengthening governance and ensuring effective oversight across committees
Blending philosophy with pragmatism, Guardians of the Boardroom redefines what it means to lead with purpose, question with integrity, and govern with wisdom. A must-read for directors, regulators, scholars, and governance professionals seeking to elevate the moral and strategic fabric of India's boardrooms.</t>
        </is>
      </c>
      <c r="I227" s="6" t="inlineStr">
        <is>
          <t>Dr Tania Dehury, PhD, MBA (Finance), is a distinguished author, thought leader, and boardroom advisor whose career spans over two decades across the domains of enterprise risk management, ESG strategy, and corporate governance. As Head of Risk Management and Business Continuity at Soudah Development, a flagship initiative under Saudi Arabia’s Public Investment Fund (PIF), he has been instrumental in shaping resilient and future-ready risk frameworks. His earlier leadership roles at Al Rajhi Bank and Saudi National Bank saw the successful implementation of Risk Management Strategies, ICAAP, Risk Appetite Frameworks, GRC Systems, and ISO Standards for Risk and Business Continuity. A Certified Independent Director from the Indian Institute of Corporate Affairs (IICA) and a Fellow of the Institute of Directors (IoD), New Delhi, Dr. Dehury has pursued global programs from MIT, HEC Paris, and IESE Business School, Barcelona. He also holds certified credentials in ESG, Climate Risk, Private Equity, and Venture Capital from TCFD, UNITAR, the World Bank, and Imperial Business School London. Blending academic depth with real-world boardroom insight, Dr. Dehury champions a new vision of ethical leadership, strategic governance, and corporate resilience.</t>
        </is>
      </c>
      <c r="J227" s="6" t="n">
        <v>1</v>
      </c>
      <c r="K227" s="6" t="inlineStr">
        <is>
          <t>English</t>
        </is>
      </c>
      <c r="L227" s="6" t="inlineStr">
        <is>
          <t>HB</t>
        </is>
      </c>
      <c r="M227" s="6" t="inlineStr">
        <is>
          <t>India</t>
        </is>
      </c>
      <c r="N227" s="21" t="n">
        <v>45978</v>
      </c>
      <c r="O227" s="6" t="n">
        <v>390</v>
      </c>
      <c r="P227" s="45" t="n">
        <v>795</v>
      </c>
      <c r="Q227" s="6" t="n">
        <v>22.2</v>
      </c>
      <c r="R227" s="6" t="n">
        <v>14.5</v>
      </c>
      <c r="S227" s="6" t="n">
        <v>2.5</v>
      </c>
      <c r="T227" s="6" t="n">
        <v>600</v>
      </c>
    </row>
    <row r="228" ht="20.1" customHeight="1">
      <c r="A228" s="6" t="n">
        <v>227</v>
      </c>
      <c r="B228" s="6" t="inlineStr">
        <is>
          <t>BGR</t>
        </is>
      </c>
      <c r="C228" s="6" t="inlineStr">
        <is>
          <t>Cursive</t>
        </is>
      </c>
      <c r="D228" s="10" t="n">
        <v>9788199305236</v>
      </c>
      <c r="E228" s="6" t="inlineStr">
        <is>
          <t>B0G6CMNTDN</t>
        </is>
      </c>
      <c r="F228" s="6" t="inlineStr">
        <is>
          <t>Dr Gautam Unny</t>
        </is>
      </c>
      <c r="G228" s="6" t="inlineStr">
        <is>
          <t>Pet Care Made Easy</t>
        </is>
      </c>
      <c r="H228" s="7" t="inlineStr">
        <is>
          <t>From choosing the right puppy or kitten to providing lifelong care, Pet Care Made Easy is an indispensable companion for every pet parent. Drawing on decades of veterinary experience, the author simplifies the science and art of pet care—making it approachable, practical, and deeply compassionate. The book takes readers through the fascinating history of domestication, the diversity of breeds, and the essentials of health, nutrition, training, and behaviour. With detailed guidance on selecting the right pet for your lifestyle, ensuring proper veterinary care, and creating a safe, happy environment, this book helps you navigate every stage of your pet’s life with confidence. Enriched with real-life anecdotes, expert insights, and easy-to-follow advice, Pet Care Made Easy celebrates the joy and responsibility of sharing your life with animals. Whether you are a first-time owner or a lifelong pet lover, this book will become your trusted guide to raising healthy, affectionate, and well-adjusted companions.</t>
        </is>
      </c>
      <c r="I228" s="6" t="inlineStr">
        <is>
          <t>Dr Gautam Unny founded the Amrita Pet Care Clinic in New Delhi over thirty years ago with a vision for selfless animal care, guided by his Guru, AMMA, the hugging saint. He combines scientific expertise with compassionate client communication, laying the foundation for a successful practice. Dr. Unny has inspired generations of pet owners and veterinarians, nurturing young professionals to carry on his legacy. He has authored numerous books and articles on pet care and frequently appears in podcasts to educate others. Dr Unny exemplifies the integration of advanced technology with compassion and vision.</t>
        </is>
      </c>
      <c r="J228" s="6" t="n">
        <v>1</v>
      </c>
      <c r="K228" s="6" t="inlineStr">
        <is>
          <t>English</t>
        </is>
      </c>
      <c r="L228" s="6" t="inlineStr">
        <is>
          <t>PB</t>
        </is>
      </c>
      <c r="M228" s="6" t="inlineStr">
        <is>
          <t>India</t>
        </is>
      </c>
      <c r="N228" s="21" t="n">
        <v>46002</v>
      </c>
      <c r="O228" s="6" t="n">
        <v>192</v>
      </c>
      <c r="P228" s="45" t="n">
        <v>495</v>
      </c>
      <c r="Q228" s="6" t="n">
        <v>21.5</v>
      </c>
      <c r="R228" s="6" t="n">
        <v>14</v>
      </c>
      <c r="S228" s="6" t="n">
        <v>2.5</v>
      </c>
      <c r="T228" s="6" t="n">
        <v>300</v>
      </c>
    </row>
    <row r="229" ht="20.1" customHeight="1">
      <c r="A229" s="6" t="n">
        <v>228</v>
      </c>
      <c r="B229" s="6" t="inlineStr">
        <is>
          <t>BGR</t>
        </is>
      </c>
      <c r="C229" s="6" t="inlineStr">
        <is>
          <t>Cursive</t>
        </is>
      </c>
      <c r="D229" s="10" t="n">
        <v>9788199305267</v>
      </c>
      <c r="E229" s="6" t="inlineStr">
        <is>
          <t>B0G6CQLKDY</t>
        </is>
      </c>
      <c r="F229" s="6" t="inlineStr">
        <is>
          <t>Dr Gautam Unny</t>
        </is>
      </c>
      <c r="G229" s="6" t="inlineStr">
        <is>
          <t>Tales of Wagging Tails</t>
        </is>
      </c>
      <c r="H229" s="7" t="inlineStr">
        <is>
          <t>Step into the world of veterinary medicine with Dr. Gautam Unny, who shares his three decades of experience treating animals ranging from white mice to Indian elephants. In Tales of Wagging Tails, he recounts the emotional highs and lows of his journey, navigating both the joy and sorrow that come with caring for "the purest of God’s creations."
Discover the unforgettable "theatrical or dramebaaz patients" who are "nothing short of comic actors with a spirit of their own." Meet remarkable animal patients such as Romeo, a 70 kg St. Bernard who loves chest thumps and biscuits, and Boxy, the mischievous boxer who can open doors and operate the air conditioner.
Dr. Unny also addresses the moral dilemmas that veterinarians face, such as euthanasia and performing emergency surgeries on unusual objects. This book aims to inspire young veterinarians to pursue their dreams while embracing the challenges of their profession.</t>
        </is>
      </c>
      <c r="I229" s="6" t="inlineStr">
        <is>
          <t>Dr Gautam Unny founded the Amrita Pet Care Clinic in New Delhi over thirty years ago with a vision for selfless animal care, guided by his Guru, AMMA, the hugging saint. He combines scientific expertise with compassionate client communication, laying the foundation for a successful practice. Dr. Unny has inspired generations of pet owners and veterinarians, nurturing young professionals to carry on his legacy. He has authored numerous books and articles on pet care and frequently appears in podcasts to educate others. Dr Unny exemplifies the integration of advanced technology with compassion and vision.</t>
        </is>
      </c>
      <c r="J229" s="6" t="n">
        <v>1</v>
      </c>
      <c r="K229" s="6" t="inlineStr">
        <is>
          <t>English</t>
        </is>
      </c>
      <c r="L229" s="6" t="inlineStr">
        <is>
          <t>PB</t>
        </is>
      </c>
      <c r="M229" s="6" t="inlineStr">
        <is>
          <t>India</t>
        </is>
      </c>
      <c r="N229" s="21" t="n">
        <v>46002</v>
      </c>
      <c r="O229" s="6" t="n">
        <v>148</v>
      </c>
      <c r="P229" s="45" t="n">
        <v>450</v>
      </c>
      <c r="Q229" s="6" t="n">
        <v>21.5</v>
      </c>
      <c r="R229" s="6" t="n">
        <v>14</v>
      </c>
      <c r="S229" s="6" t="n">
        <v>2.5</v>
      </c>
      <c r="T229" s="6" t="n">
        <v>250</v>
      </c>
    </row>
    <row r="230" ht="20.1" customHeight="1">
      <c r="A230" s="6" t="n">
        <v>229</v>
      </c>
      <c r="B230" s="6" t="inlineStr">
        <is>
          <t>BGR</t>
        </is>
      </c>
      <c r="C230" s="6" t="inlineStr">
        <is>
          <t>OakBridge</t>
        </is>
      </c>
      <c r="D230" s="10" t="n">
        <v>9788199305298</v>
      </c>
      <c r="E230" s="6" t="inlineStr">
        <is>
          <t>B0G6CVYHQG</t>
        </is>
      </c>
      <c r="F230" s="6" t="inlineStr">
        <is>
          <t>Pratap Singh</t>
        </is>
      </c>
      <c r="G230" s="6" t="inlineStr">
        <is>
          <t>In Service of the Nation: Reflections of a Bureaucrat</t>
        </is>
      </c>
      <c r="H230" s="7" t="inlineStr">
        <is>
          <t>In Service of the Nation: Reflections of a Bureaucrat is a compelling memoir that traces Pratap Singh’s remarkable journey from a small, electricity-deficient village in Uttar Pradesh to the highest ranks of India’s civil services. Set against the backdrop of India’s economic and administrative transformation, the book offers a rare, ground-level view of how public institutions—especially the tax administration—have shaped the nation’s progress.
With honesty and clarity, he recounts his experiences across major postings in Kanpur, Delhi, Mumbai, Bangalore, Gurgaon, and Chennai, revealing the challenges, investigations, reforms, and innovations that define life within the Indian Revenue Service. His insights illuminate how India built stronger systems, embraced technology, and strengthened financial integrity during a crucial phase of national growth.
Interwoven with this professional narrative is an inspiring personal story—one that demonstrates how perseverance, education, and opportunity can lift individuals from modest rural beginnings to the country’s most esteemed institutions, including AMU and IIT Kanpur.
Reflective and deeply human, In Service of the Nation is a testament to integrity, purpose, and an unwavering commitment to nation-building at a time when India’s moment has truly arrived.</t>
        </is>
      </c>
      <c r="I230" s="7" t="inlineStr">
        <is>
          <t>Pratap Singh is an IRS officer with elaborate experience in tax policy formulation and administration over the last 32 years. During his career, he has assumed significant roles in the Government of India and has served at different locations including Delhi, Bangalore, Mumbai, and Gurgaon. He has authored two books, India’s Odyssey: From a Developing Country to an Emerging Superpower &amp; Reforms in Tax Administration: An Indian Experience, and has written research papers. In addition to this, he has chaired committees and has authored several reports. Mr Singh’s expertise has resulted in several amendments in the Income Tax laws.
A regular columnist for Taxindiaonline and other magazines &amp; newspapers, Mr Singh is also a sought after speaker on taxation and administrative issues. He has a website www.pratapsinghirs.com, where he shares his views and experiences. He has been a huge votary of sustainability and environmental protection and has carried out mega plantation drives in several cities. He supports various social causes like education and community development through his NGO, Ujjawalika Foundation.
Mr Singh holds an MTech from IIT Kanpur and a PhD in Developmental Studies from Mysore University, besides holding degrees in Law and Management.</t>
        </is>
      </c>
      <c r="J230" s="6" t="n">
        <v>1</v>
      </c>
      <c r="K230" s="6" t="inlineStr">
        <is>
          <t>English</t>
        </is>
      </c>
      <c r="L230" s="6" t="inlineStr">
        <is>
          <t>HB</t>
        </is>
      </c>
      <c r="M230" s="6" t="inlineStr">
        <is>
          <t>India</t>
        </is>
      </c>
      <c r="N230" s="21" t="n">
        <v>46002</v>
      </c>
      <c r="O230" s="6" t="n">
        <v>354</v>
      </c>
      <c r="P230" s="45" t="n">
        <v>995</v>
      </c>
      <c r="Q230" s="6" t="n">
        <v>22.2</v>
      </c>
      <c r="R230" s="6" t="n">
        <v>14.5</v>
      </c>
      <c r="S230" s="6" t="n">
        <v>2.5</v>
      </c>
      <c r="T230" s="6" t="n">
        <v>550</v>
      </c>
    </row>
    <row r="231" ht="20.1" customHeight="1">
      <c r="A231" s="6" t="n">
        <v>230</v>
      </c>
      <c r="B231" s="6" t="inlineStr">
        <is>
          <t>Law</t>
        </is>
      </c>
      <c r="C231" s="6" t="inlineStr">
        <is>
          <t>OakBridge</t>
        </is>
      </c>
      <c r="D231" s="10" t="n">
        <v>9789395764599</v>
      </c>
      <c r="E231" s="6" t="n">
        <v>9395764597</v>
      </c>
      <c r="F231" s="6" t="inlineStr">
        <is>
          <t>Saji Narayanan C K</t>
        </is>
      </c>
      <c r="G231" s="6" t="inlineStr">
        <is>
          <t>The Law Relating to The Code on Social Security, 2020: With Draft Central Rules, Notifications and Judgments</t>
        </is>
      </c>
      <c r="H231" s="7" t="inlineStr">
        <is>
          <t>•	The Law Relating to the Code on Social Security, 2020 is a comprehensive and authoritative examination of a historic reform that marks India’s bold stride toward universal social security. 
•	Consolidating and amending nine central labour laws—including landmark schemes such as the Employees’ Provident Fund (EPF) and Employees’ State Insurance (ESI)—the Code streamlines and modernizes the country’s social security architecture.
•	This extensive volume offers meticulous, section-by-section analysis of key areas such as EPF, ESI, Gratuity, Maternity Benefit, and Employee’s Compensation. 
•	The Code significantly expands social protection by extending coverage to Unorganised Workers, Gig Workers, and Platform Workers, with provisions mandating aggregator contributions to the Social Security Fund based on annual turnover. 
•	The book also incorporates the latest Draft Central Rules and Notifications for ready reference.
•	Rich with distilled insights from important Supreme Court and High Court judgments—particularly valuable where the Code mirrors earlier laws—this commentary serves as an indispensable resource for the legal fraternity, labour courts and tribunals, HR professionals, trade unions, employer organisations, and academia seeking clarity on the evolving framework of social security in India.</t>
        </is>
      </c>
      <c r="I231" s="7" t="inlineStr">
        <is>
          <t>Saji Narayanan C K is a noted lawyer, labour law expert, and former member of the Second National Commission on Labour. A prolific author of over 15 books and 250 articles, he has taught at the National Judicial Academy, Bhopal, and served in key national roles, including President of BMS and Vice-Chairperson of the Indian Labour Conference. He has led Indian trade union delegations to multiple ILO conferences and participated in international peace missions. Former President of the Thrissur Bar Association, he has also served as Director of North Malabar Gramin Bank and held positions in several national institutions.</t>
        </is>
      </c>
      <c r="J231" s="6" t="n">
        <v>1</v>
      </c>
      <c r="K231" s="6" t="inlineStr">
        <is>
          <t>English</t>
        </is>
      </c>
      <c r="L231" s="6" t="inlineStr">
        <is>
          <t>PB</t>
        </is>
      </c>
      <c r="M231" s="6" t="inlineStr">
        <is>
          <t>India</t>
        </is>
      </c>
      <c r="N231" s="21" t="n">
        <v>46009</v>
      </c>
      <c r="O231" s="6" t="n">
        <v>926</v>
      </c>
      <c r="P231" s="45" t="n">
        <v>1895</v>
      </c>
      <c r="Q231" s="6" t="n">
        <v>24</v>
      </c>
      <c r="R231" s="6" t="n">
        <v>16</v>
      </c>
      <c r="S231" s="6" t="n">
        <v>4</v>
      </c>
      <c r="T231" s="6" t="n">
        <v>900</v>
      </c>
    </row>
    <row r="232" ht="20.1" customHeight="1">
      <c r="A232" s="6" t="n">
        <v>231</v>
      </c>
      <c r="B232" s="6" t="inlineStr">
        <is>
          <t>Law</t>
        </is>
      </c>
      <c r="C232" s="6" t="inlineStr">
        <is>
          <t>OakBridge</t>
        </is>
      </c>
      <c r="D232" s="10" t="n">
        <v>9789395764568</v>
      </c>
      <c r="E232" s="6" t="n">
        <v>9395764562</v>
      </c>
      <c r="F232" s="6" t="inlineStr">
        <is>
          <t>Saji Narayanan C K</t>
        </is>
      </c>
      <c r="G232" s="6" t="inlineStr">
        <is>
          <t>The Law Relating to The Occupational Safety, Health and Working Conditions Code, 2020: With Draft Central Rules, Notifications and Judgments</t>
        </is>
      </c>
      <c r="H232" s="7" t="inlineStr">
        <is>
          <t>•	The Occupational Safety, Health and Working Conditions Code, 2020 (OSH &amp; WC Code) represents a watershed reform in India’s labour framework. 
•	By consolidating thirteen diverse labour laws and reducing 622 provisions into a streamlined set of 134, the Code ushers in a modern, coherent structure for safeguarding workplace safety and well-being. 
•	It extends occupational safety and health requirements to nearly all establishments employing ten or more workers—including those in the service sector—and applies these protections universally wherever hazardous or life threatening activities are undertaken.
•	Strengthening worker rights at their core, the Code makes it mandatory for employers to issue appointment letters and empowers every employee to participate actively in improving safety and health standards at the workplace.
•	The Law Relating to the Occupational Safety, Health and Working Conditions Code, 2020 provides an exhaustive, section-wise commentary enriched with decisions from courts across India. 
•	The book also includes a detailed comparative chart juxtaposing the Code’s provisions with the repealed laws, offering valuable clarity on the transition to the new regime. 
•	Comprehensive and authoritative, this volume is an indispensable resource for judges, lawyers, corporate management, students, and trade union leaders seeking to navigate India’s transformed occupational safety and working conditions landscape.</t>
        </is>
      </c>
      <c r="I232" s="7" t="inlineStr">
        <is>
          <t>Saji Narayanan C K is a noted lawyer, labour law expert, and former member of the Second National Commission on Labour. A prolific author of over 15 books and 250 articles, he has taught at the National Judicial Academy, Bhopal, and served in key national roles, including President of BMS and Vice-Chairperson of the Indian Labour Conference. He has led Indian trade union delegations to multiple ILO conferences and participated in international peace missions. Former President of the Thrissur Bar Association, he has also served as Director of North Malabar Gramin Bank and held positions in several national institutions.</t>
        </is>
      </c>
      <c r="J232" s="6" t="n">
        <v>1</v>
      </c>
      <c r="K232" s="6" t="inlineStr">
        <is>
          <t>English</t>
        </is>
      </c>
      <c r="L232" s="6" t="inlineStr">
        <is>
          <t>PB</t>
        </is>
      </c>
      <c r="M232" s="6" t="inlineStr">
        <is>
          <t>India</t>
        </is>
      </c>
      <c r="N232" s="21" t="n">
        <v>46009</v>
      </c>
      <c r="O232" s="6" t="n">
        <v>510</v>
      </c>
      <c r="P232" s="45" t="n">
        <v>995</v>
      </c>
      <c r="Q232" s="6" t="n">
        <v>24</v>
      </c>
      <c r="R232" s="6" t="n">
        <v>16</v>
      </c>
      <c r="S232" s="6" t="n">
        <v>2.5</v>
      </c>
      <c r="T232" s="6" t="n">
        <v>700</v>
      </c>
    </row>
    <row r="233" ht="20.1" customHeight="1">
      <c r="A233" s="6" t="n">
        <v>232</v>
      </c>
      <c r="B233" s="6" t="inlineStr">
        <is>
          <t>Law</t>
        </is>
      </c>
      <c r="C233" s="6" t="inlineStr">
        <is>
          <t>OakBridge</t>
        </is>
      </c>
      <c r="D233" s="10" t="n">
        <v>9789395764575</v>
      </c>
      <c r="E233" s="6" t="n">
        <v>9395764570</v>
      </c>
      <c r="F233" s="6" t="inlineStr">
        <is>
          <t>Saji Narayanan C K</t>
        </is>
      </c>
      <c r="G233" s="6" t="inlineStr">
        <is>
          <t>The Law Relating to The Industrial Relations Code, 2020: With Draft Central Rules, Orders, Notifications and Judgments</t>
        </is>
      </c>
      <c r="H233" s="7" t="inlineStr">
        <is>
          <t>•	The Law Relating to Industrial Relations Code, 2020 is a comprehensive volume that offers an authoritative and contemporary examination of one of India’s most far-reaching labour reforms. 
•	The Industrial Relations Code, 2020 consolidates and modernizes three foundational laws—the Industrial Disputes Act, 1947; the Industrial Employment (Standing Orders) Act, 1946; and the Trade Unions Act, 1926—streamlining the industrial relations framework for a rapidly evolving, technology-driven economy.
•	The Code introduces several progressive changes, including single registration for establishments, rationalized thresholds for lay-off and retrenchment, fixed-term employment, and strengthened frameworks for trade unions, dispute settlement, and worker grievance redressal. 
•	It also establishes a unified Industrial Tribunal with the power to grant interim relief and creates a Worker Re-Skilling Fund to support retrenched employees. 
•	With clear, section-wise analysis enriched by the essence of key judicial decisions, this book serves as an indispensable guide for legal professionals, HR practitioners, employers, and academics seeking a deep understanding of the Industrial Relations Code, 2020 and its practical implications.</t>
        </is>
      </c>
      <c r="I233" s="7" t="inlineStr">
        <is>
          <t>Saji Narayanan C K is a noted lawyer, labour law expert, and former member of the Second National Commission on Labour. A prolific author of over 15 books and 250 articles, he has taught at the National Judicial Academy, Bhopal, and served in key national roles, including President of BMS and Vice-Chairperson of the Indian Labour Conference. He has led Indian trade union delegations to multiple ILO conferences and participated in international peace missions. Former President of the Thrissur Bar Association, he has also served as Director of North Malabar Gramin Bank and held positions in several national institutions.</t>
        </is>
      </c>
      <c r="J233" s="6" t="n">
        <v>1</v>
      </c>
      <c r="K233" s="6" t="inlineStr">
        <is>
          <t>English</t>
        </is>
      </c>
      <c r="L233" s="6" t="inlineStr">
        <is>
          <t>PB</t>
        </is>
      </c>
      <c r="M233" s="6" t="inlineStr">
        <is>
          <t>India</t>
        </is>
      </c>
      <c r="N233" s="21" t="n">
        <v>46009</v>
      </c>
      <c r="O233" s="6" t="n">
        <v>980</v>
      </c>
      <c r="P233" s="45" t="n">
        <v>1895</v>
      </c>
      <c r="Q233" s="6" t="n">
        <v>24</v>
      </c>
      <c r="R233" s="6" t="n">
        <v>16</v>
      </c>
      <c r="S233" s="6" t="n">
        <v>4</v>
      </c>
      <c r="T233" s="6" t="n">
        <v>900</v>
      </c>
    </row>
    <row r="234" ht="20.1" customHeight="1">
      <c r="A234" s="6" t="n">
        <v>233</v>
      </c>
      <c r="B234" s="6" t="inlineStr">
        <is>
          <t>Law</t>
        </is>
      </c>
      <c r="C234" s="6" t="inlineStr">
        <is>
          <t>OakBridge</t>
        </is>
      </c>
      <c r="D234" s="10" t="n">
        <v>9789395764582</v>
      </c>
      <c r="E234" s="6" t="n">
        <v>9395764589</v>
      </c>
      <c r="F234" s="6" t="inlineStr">
        <is>
          <t>Saji Narayanan C K</t>
        </is>
      </c>
      <c r="G234" s="6" t="inlineStr">
        <is>
          <t>The Law Relating to The Code on Wages, 2019: With Draft Central Rules, Notifications and Judgments</t>
        </is>
      </c>
      <c r="H234" s="7" t="inlineStr">
        <is>
          <t>•	The Law Relating to The Code on Wages, 2019 delivers a meticulous, section-wise commentary enriched with judicial pronouncements, constitutional insights, and practical perspectives.
•	The Code on Wages, 2019 represents a defining moment in India’s labour law landscape, bringing together four foundational statutes - the Payment of Wages Act, 1936; Minimum Wages Act, 1948; Payment of Bonus Act, 1965; and Equal Remuneration Act, 1976 into a unified, modern framework.
•	Designed to promote livelihood security, productive employment, and equitable growth, the Code reshapes wage regulation for the nation’s workforce.
•	Extending minimum wage protection to nearly all employees, including those in supervisory and managerial roles, the Code introduces a pioneering statutory floor wage that no State may breach. 
•	It widens the scope of “wage” to cover key allowances and strengthens social justice by expanding the claim limitation period from six months to three years and enforcing strict gender-neutrality across recruitment and employment conditions.
•	Comprehensive and authoritative, this volume is an essential resource for policymakers, legal professionals, trade unions, HR leaders, and anyone seeking to navigate India’s transformed wage ecosystem.</t>
        </is>
      </c>
      <c r="I234" s="7" t="inlineStr">
        <is>
          <t>Saji Narayanan C K is a noted lawyer, labour law expert, and former member of the Second National Commission on Labour. A prolific author of over 15 books and 250 articles, he has taught at the National Judicial Academy, Bhopal, and served in key national roles, including President of BMS and Vice-Chairperson of the Indian Labour Conference. He has led Indian trade union delegations to multiple ILO conferences and participated in international peace missions. Former President of the Thrissur Bar Association, he has also served as Director of North Malabar Gramin Bank and held positions in several national institutions.</t>
        </is>
      </c>
      <c r="J234" s="6" t="n">
        <v>1</v>
      </c>
      <c r="K234" s="6" t="inlineStr">
        <is>
          <t>English</t>
        </is>
      </c>
      <c r="L234" s="6" t="inlineStr">
        <is>
          <t>PB</t>
        </is>
      </c>
      <c r="M234" s="6" t="inlineStr">
        <is>
          <t>India</t>
        </is>
      </c>
      <c r="N234" s="21" t="n">
        <v>46009</v>
      </c>
      <c r="O234" s="6" t="n">
        <v>298</v>
      </c>
      <c r="P234" s="45" t="n">
        <v>795</v>
      </c>
      <c r="Q234" s="6" t="n">
        <v>24</v>
      </c>
      <c r="R234" s="6" t="n">
        <v>16</v>
      </c>
      <c r="S234" s="6" t="n">
        <v>2.5</v>
      </c>
      <c r="T234" s="6" t="n">
        <v>650</v>
      </c>
    </row>
    <row r="235" ht="20.1" customHeight="1">
      <c r="A235" s="6" t="n">
        <v>234</v>
      </c>
      <c r="B235" s="9" t="inlineStr">
        <is>
          <t>Academic</t>
        </is>
      </c>
      <c r="C235" s="6" t="inlineStr">
        <is>
          <t>OakBridge</t>
        </is>
      </c>
      <c r="D235" s="10" t="n">
        <v>9788199305229</v>
      </c>
      <c r="E235" s="4" t="inlineStr">
        <is>
          <t>B0GLGG1746</t>
        </is>
      </c>
      <c r="F235" s="22" t="inlineStr">
        <is>
          <t>A P Bhardwaj</t>
        </is>
      </c>
      <c r="G235" s="22" t="inlineStr">
        <is>
          <t>Compulsory English for IAS (Mains) Examination 6/e</t>
        </is>
      </c>
      <c r="H235" s="11" t="inlineStr">
        <is>
          <t>With a distinguished track record of 16 years as #1 NATIONAL BESTSELLER, A P Bhardwaj’s COMPULSORY ENGLISH 6th Edition has been completely revised and revamped, featuring section-wise solved papers of IAS (MAINS) 2024-2025. This new edition brings: Comprehensive updates added to the Grammar, Vocabulary, and Composition sections. All sections now include solved questions from the 2024-2025 IAS Mains exams, covering key areas such as Precis, Comprehension, Errors, Grammar, and Vocabulary. A brand-new chapter featuring 4500 synonyms and antonyms, presented in a fresh format with roots and meanings of parent words for better understanding and retention. Two new parts, consisting of 12 chapters on Usage of Grammar and Vocabulary, offering 200 additional Practice Tests (PTs) to further enhance mastery. Fully solved Language paper of DELHI JUDICIAL SERVICES EXAMINATION (DJSE), 2023</t>
        </is>
      </c>
      <c r="I235" s="23" t="inlineStr">
        <is>
          <t>A P BHARDWAJ is a popular name among civil and judicial services aspirants, coaches, and mentors. With over 15 years of experience, he has earned a stellar reputation as the author of the #1 National Bestseller Compulsory English. His book enjoys widespread popularity both in bookstores and on online platforms. Known as the CLAT Guru, he excels in mentoring CLAT aspirants and has successfully guided hundreds of students in civil and judicial services exams. Based in Chandigarh, he is also recognized as an ELT expert and Law Entrance Trainer in the Chandigarh-Panchkula-Mohali area. Originally from Samrala, Ludhiana (Punjab), Mr Bhardwaj is dedicated to shaping the future of aspirants across the country.</t>
        </is>
      </c>
      <c r="J235" s="24" t="n">
        <v>6</v>
      </c>
      <c r="K235" s="24" t="inlineStr">
        <is>
          <t>English</t>
        </is>
      </c>
      <c r="L235" s="24" t="inlineStr">
        <is>
          <t>PB</t>
        </is>
      </c>
      <c r="M235" s="24" t="inlineStr">
        <is>
          <t>India</t>
        </is>
      </c>
      <c r="N235" s="25" t="n">
        <v>46048</v>
      </c>
      <c r="O235" s="24" t="n">
        <v>766</v>
      </c>
      <c r="P235" s="46" t="n">
        <v>625</v>
      </c>
      <c r="Q235" s="24" t="n">
        <v>24</v>
      </c>
      <c r="R235" s="24" t="n">
        <v>16</v>
      </c>
      <c r="S235" s="24" t="n">
        <v>2.5</v>
      </c>
      <c r="T235" s="24" t="n"/>
    </row>
    <row r="236" ht="20.1" customHeight="1">
      <c r="A236" s="6" t="n">
        <v>235</v>
      </c>
      <c r="B236" s="9" t="inlineStr">
        <is>
          <t>Academic</t>
        </is>
      </c>
      <c r="C236" s="6" t="inlineStr">
        <is>
          <t>OakBridge</t>
        </is>
      </c>
      <c r="D236" s="10" t="n">
        <v>9788199305212</v>
      </c>
      <c r="E236" s="4" t="inlineStr">
        <is>
          <t>B0GGQV2LCX</t>
        </is>
      </c>
      <c r="F236" s="22" t="inlineStr">
        <is>
          <t>Naveen Kumar Chandra</t>
        </is>
      </c>
      <c r="G236" s="22" t="inlineStr">
        <is>
          <t>Mastering the Essay Paper</t>
        </is>
      </c>
      <c r="H236" s="26" t="inlineStr">
        <is>
          <t>The UPSC Civil Services Examination (CSE) Essay Paper, carrying 250 marks, is a pivotal component that shapes an aspirant’s journey toward becoming a civil servant and serving India’s vision. Scoring highly demands more than mere knowledge; it requires the ability to articulate ideas with clarity, coherence, and multi-dimensional insight.Mastering the Essay Paper is designed to empower you to meet these demands. Crafted with insights from past UPSC papers (2015–2024) and proven toppers’ strategies, it provides a comprehensive roadmap for excellence in essay writing.Find the definitive systematic guidance needed to excel:• Structure for Success: Learn to transform complex topics into compelling narratives, mastering structured writing and evidence-based arguments.• Topper-Driven Content: Benefit from 60 sample essays on past UPSC topics, showcasing detailed multi-dimensional analysis. Gain insights from toppers and examiners, emphasizingclarity, originality, and solutions.• Evidence-Based Authority: Ensure your arguments are high-impact by eﬀectively integrating current aﬀairs. Learn how to leverage credible sources like NFHS-5, Economic Surveys, andCOP29, and embed statistics using sources like The Hindu and PIB.• Precision Practice: Prepare for the rigorous 3-hour, two-essay format with 30 practice questions and model outlines. Learn to tackle common pitfalls—such as time mismanagement or deviation.• Essential Tools &amp; Resources: Access to 150-word vocabulary, 100 key statistics for 2024–2025, a 50-term glossary, and the interactive Digital Companion Portal.Transform your words into scores. Shape your destiny as a civil servant.</t>
        </is>
      </c>
      <c r="I236" s="6" t="inlineStr">
        <is>
          <t>Naveen Kumar Chandra is an avid reader and prolific writer. He is also very interested in subjects and topics such as economics, philosophy, psychology, physics, astronomy, music and art. He also loves to paint and sketch. He writes on a variety of issues and topics and has published several books. He has a blog which he has been writing for over 10 years. Having graduated from IIT Roorkee, he is currently posted as ADM and AEO, ZP Dakshin Dinajpur District in the state of West Bengal.</t>
        </is>
      </c>
      <c r="J236" s="24" t="n">
        <v>1</v>
      </c>
      <c r="K236" s="24" t="inlineStr">
        <is>
          <t>English</t>
        </is>
      </c>
      <c r="L236" s="24" t="inlineStr">
        <is>
          <t>PB</t>
        </is>
      </c>
      <c r="M236" s="24" t="inlineStr">
        <is>
          <t>India</t>
        </is>
      </c>
      <c r="N236" s="25" t="n">
        <v>46048</v>
      </c>
      <c r="O236" s="24" t="n">
        <v>152</v>
      </c>
      <c r="P236" s="46" t="n">
        <v>250</v>
      </c>
      <c r="Q236" s="24" t="n">
        <v>23.5</v>
      </c>
      <c r="R236" s="24" t="n">
        <v>17</v>
      </c>
      <c r="S236" s="24" t="n">
        <v>2.5</v>
      </c>
      <c r="T236" s="24" t="n"/>
    </row>
    <row r="237" ht="20.1" customHeight="1">
      <c r="A237" s="6" t="n">
        <v>236</v>
      </c>
      <c r="B237" s="9" t="inlineStr">
        <is>
          <t>Academic</t>
        </is>
      </c>
      <c r="C237" s="6" t="inlineStr">
        <is>
          <t>OakBridge</t>
        </is>
      </c>
      <c r="D237" s="10" t="n">
        <v>9788199305274</v>
      </c>
      <c r="E237" s="4" t="inlineStr">
        <is>
          <t>B0GHN3SLC3</t>
        </is>
      </c>
      <c r="F237" s="22" t="inlineStr">
        <is>
          <t>Naveen Kumar Chandra</t>
        </is>
      </c>
      <c r="G237" s="22" t="inlineStr">
        <is>
          <t>International Relations and Foreign Policy of India</t>
        </is>
      </c>
      <c r="H237" s="27" t="inlineStr">
        <is>
          <t>International Relations and Foreign Policy of India, through its unique content structure and simple writing style, intends to help aspirants consolidate their learning and preparation on the subject as well as sharpen their focus to help them succeed.The book connects the theoretical foundations of International Relations with its practical application through India’s experiences, which acts as a crucial base for understanding India’s emergence as a nuclear power and a cultural beacon in a dynamic world. It is designed to oﬀer a comprehensive lens for those seeking to master the complexities of India’s role in global politics. The book provides several useful frameworks and tools to aid the aspirants in their preparation including Case Studies, Answer-writing Strategies for Mains, Sample Questions for Prelims and Mains, and Previous Year Questions’ Analysis.Providing a comprehensive analysis of India’s foreign policy, which is fundamentally shaped by the philosophical ideals of Mahatma Gandhi’s non-violence and the leaders of Independent India, the book explores how these historical roots underpin India’s modern diplomatic strategies. In the process it traces the evolution of India’s stance through distinct phases, from the anti-imperialist solidarity of the pre-independence era to the strategic multi-alignment of the 21st century.In the book, you will study the core concepts that define India’s global presence:• Strategic Autonomy: Examine India’s balancing act, exemplified by its deepened ties with the United States while maintaining a robust defense partnership with Russia.• Sovereignty and Security: Analyse India’s firm stance against violations of its borders.• Global Leadership: Chart India’s ascent as a leader of the Global South, highlighted by its successful 2023 G20 presidency, its prominent role in the QUAD framework, and its pioneering International Solar Alliance (ISA) initiative.• Soft Power and Influence: Understand how India leverages its cultural diplomacy, and economic integration through massive exports and trade pacts.The book aims to equip civil services aspirants with the ability to critically analyse and relate contemporary developments in International Relations, all of which will aid the success of the aspirants.</t>
        </is>
      </c>
      <c r="I237" s="6" t="inlineStr">
        <is>
          <t>Naveen Kumar Chandra is an avid reader and prolific writer. He is also very interested in subjects and topics such as economics, philosophy, psychology, physics, astronomy, music and art. He also loves to paint and sketch. He writes on a variety of issues and topics and has published several books. He has a blog which he has been writing for over 10 years. Having graduated from IIT Roorkee, he is currently posted as ADM and AEO, ZP Dakshin Dinajpur District in the state of West Bengal.</t>
        </is>
      </c>
      <c r="J237" s="24" t="n">
        <v>1</v>
      </c>
      <c r="K237" s="24" t="inlineStr">
        <is>
          <t>English</t>
        </is>
      </c>
      <c r="L237" s="24" t="inlineStr">
        <is>
          <t>PB</t>
        </is>
      </c>
      <c r="M237" s="24" t="inlineStr">
        <is>
          <t>India</t>
        </is>
      </c>
      <c r="N237" s="25" t="n">
        <v>46048</v>
      </c>
      <c r="O237" s="24" t="n">
        <v>188</v>
      </c>
      <c r="P237" s="46" t="n">
        <v>295</v>
      </c>
      <c r="Q237" s="24" t="n">
        <v>23.5</v>
      </c>
      <c r="R237" s="24" t="n">
        <v>17</v>
      </c>
      <c r="S237" s="24" t="n">
        <v>2.5</v>
      </c>
      <c r="T237" s="24" t="n"/>
    </row>
    <row r="238" ht="20.1" customHeight="1">
      <c r="A238" s="6" t="n">
        <v>237</v>
      </c>
      <c r="B238" s="9" t="inlineStr">
        <is>
          <t>Academic</t>
        </is>
      </c>
      <c r="C238" s="6" t="inlineStr">
        <is>
          <t>OakBridge</t>
        </is>
      </c>
      <c r="D238" s="10" t="n">
        <v>9789389176865</v>
      </c>
      <c r="E238" s="4" t="n">
        <v>9389176867</v>
      </c>
      <c r="F238" s="22" t="inlineStr">
        <is>
          <t>Naveen Kumar Chandra</t>
        </is>
      </c>
      <c r="G238" s="28" t="inlineStr">
        <is>
          <t>Day 1 to One Day</t>
        </is>
      </c>
      <c r="H238" s="11" t="inlineStr">
        <is>
          <t>Day 1 to One Day is the essential, comprehensive guide designed to help you master the final and most defining stage of the UPSC Civil Services Examination (CSE)—the Personality Test. More than a mere assessment of knowledge, the Interview is an opportunity to showcase your personality, clarity of thought, and commitment to serving the nation.</t>
        </is>
      </c>
      <c r="I238" s="6" t="inlineStr">
        <is>
          <t>Naveen Kumar Chandra is an avid reader and prolific writer. He is also very interested in subjects and topics such as economics, philosophy, psychology, physics, astronomy, music and art. He also loves to paint and sketch. He writes on a variety of issues and topics and has published several books. He has a blog which he has been writing for over 10 years. Having graduated from IIT Roorkee, he is currently posted as ADM and AEO, ZP Dakshin Dinajpur District in the state of West Bengal.</t>
        </is>
      </c>
      <c r="J238" s="24" t="n">
        <v>1</v>
      </c>
      <c r="K238" s="24" t="inlineStr">
        <is>
          <t>English</t>
        </is>
      </c>
      <c r="L238" s="24" t="inlineStr">
        <is>
          <t>PB</t>
        </is>
      </c>
      <c r="M238" s="24" t="inlineStr">
        <is>
          <t>India</t>
        </is>
      </c>
      <c r="N238" s="25" t="n">
        <v>46048</v>
      </c>
      <c r="O238" s="24" t="n">
        <v>118</v>
      </c>
      <c r="P238" s="46" t="n">
        <v>250</v>
      </c>
      <c r="Q238" s="24" t="n">
        <v>21.5</v>
      </c>
      <c r="R238" s="24" t="n">
        <v>14</v>
      </c>
      <c r="S238" s="24" t="n">
        <v>2.5</v>
      </c>
      <c r="T238" s="24" t="n"/>
    </row>
    <row r="239" ht="20.1" customHeight="1">
      <c r="A239" s="6" t="n">
        <v>238</v>
      </c>
      <c r="B239" s="9" t="inlineStr">
        <is>
          <t>BGR</t>
        </is>
      </c>
      <c r="C239" s="6" t="inlineStr">
        <is>
          <t>OakBridge</t>
        </is>
      </c>
      <c r="D239" s="10" t="n">
        <v>9788198661166</v>
      </c>
      <c r="E239" s="4" t="inlineStr">
        <is>
          <t>B0GM6JTXGC</t>
        </is>
      </c>
      <c r="F239" s="22" t="inlineStr">
        <is>
          <t>Raju Z Moray</t>
        </is>
      </c>
      <c r="G239" s="22" t="inlineStr">
        <is>
          <t>Fun-in-Law</t>
        </is>
      </c>
      <c r="H239" s="37" t="inlineStr">
        <is>
          <t>Fun-in-Law is a selection of thirty funny stories by Raju Z. Moray. He blends fact and fiction in his inimitable style. This is a world peopled by law and lawyers, courts and judges. These stories first appeared as ‘Adaalat Antics’ on theleaflet.in portal and regaled thousands of readers.
Due to a growing demand from fans of the bestselling ‘Court Jester’ (2017) and ‘Tales of Law and Laughter’ (2024) to collect and publish more ‘Adaalat Antics’ stories in a book form, we now present ‘Fun in Law’ to readers.
All the stories have illustrations by Farzana Cooper, who had also illustrated the author’s earlier books.
“Someone has said that humour is a weapon in the hands of unarmed people who believe in non-violence. Humour can be more effective than weapons.
Raju  has used it very effectively, bringing a sense of lightness and camaraderie to the often serious and intense legal environment.
I hope that he continues to do that, as his humour is a breath of fresh air in our daily lives.”
Abhay Oka, Former Judge, Supreme Court of India</t>
        </is>
      </c>
      <c r="I239" s="11" t="inlineStr">
        <is>
          <t>Raju Z. Moray is a Mumbai-based lawyer, author, and poet known for his humorous and satirical writings about the legal profession in India. He has been practicing law since 1985 and has contributed to prominent legal publications for over 35 years. He is especially recognized for his regular columns and poetry on platforms like “The Leaflet” and “From the Lawyers Collective” where his “Court Jester” columns gained significant acclaim.</t>
        </is>
      </c>
      <c r="J239" s="24" t="n">
        <v>1</v>
      </c>
      <c r="K239" s="24" t="inlineStr">
        <is>
          <t>English</t>
        </is>
      </c>
      <c r="L239" s="24" t="inlineStr">
        <is>
          <t>PB</t>
        </is>
      </c>
      <c r="M239" s="24" t="inlineStr">
        <is>
          <t>India</t>
        </is>
      </c>
      <c r="N239" s="25" t="n">
        <v>46048</v>
      </c>
      <c r="O239" s="24" t="n">
        <v>226</v>
      </c>
      <c r="P239" s="46" t="n">
        <v>595</v>
      </c>
      <c r="Q239" s="24" t="inlineStr">
        <is>
          <t>135MM</t>
        </is>
      </c>
      <c r="R239" s="24" t="inlineStr">
        <is>
          <t>209MM</t>
        </is>
      </c>
      <c r="S239" s="24" t="n">
        <v>2.5</v>
      </c>
      <c r="T239" s="24" t="n"/>
    </row>
    <row r="240" ht="20.1" customHeight="1">
      <c r="A240" s="6" t="n">
        <v>239</v>
      </c>
      <c r="B240" s="9" t="inlineStr">
        <is>
          <t>Law</t>
        </is>
      </c>
      <c r="C240" s="6" t="inlineStr">
        <is>
          <t>OakBridge</t>
        </is>
      </c>
      <c r="D240" s="29" t="n">
        <v>9788199305243</v>
      </c>
      <c r="E240" s="4" t="inlineStr">
        <is>
          <t>B0GLYL7CMM</t>
        </is>
      </c>
      <c r="F240" s="30" t="inlineStr">
        <is>
          <t>CA T P Ostwal and CA Kush Vatsaraj</t>
        </is>
      </c>
      <c r="G240" s="14" t="inlineStr">
        <is>
          <t>A Treatise on the Black Money Act of India – Law Practice &amp; Jurisprudence</t>
        </is>
      </c>
      <c r="H240" s="11" t="inlineStr">
        <is>
          <t>Inside, you will find practical strategies, sample questions with high-scoring model answers, mind maps, and checklists to ensure full readiness. The content systematically guides you through tackling personal, current aﬀairs, situational, and tricky questions, helping you showcase decision-making and ethical judgment.</t>
        </is>
      </c>
      <c r="I240" s="11" t="inlineStr">
        <is>
          <t>He has authored several books, including bestsellers such as 'Court Jester' (2017), 'Tales of Law &amp; Laughter' (2024) and 'The Locked Down Lawyer' (2021) , blending real-life legal experience with wit and humor.</t>
        </is>
      </c>
      <c r="J240" s="24" t="n">
        <v>1</v>
      </c>
      <c r="K240" s="24" t="inlineStr">
        <is>
          <t>English</t>
        </is>
      </c>
      <c r="L240" s="24" t="inlineStr">
        <is>
          <t>HB</t>
        </is>
      </c>
      <c r="M240" s="24" t="inlineStr">
        <is>
          <t>India</t>
        </is>
      </c>
      <c r="N240" s="25" t="n">
        <v>46048</v>
      </c>
      <c r="O240" s="24" t="n">
        <v>884</v>
      </c>
      <c r="P240" s="46" t="n">
        <v>2495</v>
      </c>
      <c r="Q240" s="24" t="n">
        <v>24.8</v>
      </c>
      <c r="R240" s="24" t="n">
        <v>16.3</v>
      </c>
      <c r="S240" s="24" t="n">
        <v>2.5</v>
      </c>
      <c r="T240" s="24" t="n">
        <v>1200</v>
      </c>
    </row>
    <row r="241" ht="20.1" customHeight="1">
      <c r="A241" s="6" t="n">
        <v>240</v>
      </c>
      <c r="B241" s="9" t="inlineStr">
        <is>
          <t>BGR</t>
        </is>
      </c>
      <c r="C241" s="6" t="inlineStr">
        <is>
          <t>OakBridge</t>
        </is>
      </c>
      <c r="D241" s="29" t="n">
        <v>9788199624528</v>
      </c>
      <c r="E241" s="4" t="inlineStr">
        <is>
          <t>B0GKP9C8GY</t>
        </is>
      </c>
      <c r="F241" s="14" t="inlineStr">
        <is>
          <t>Shishir Priyadarshi &amp; Dr Cchavi Vasisht</t>
        </is>
      </c>
      <c r="G241" s="14" t="inlineStr">
        <is>
          <t>Perspectives from and within India and its Neighbourhood</t>
        </is>
      </c>
      <c r="H241" s="11" t="inlineStr">
        <is>
          <t>The core approach is simple: blend thorough preparation with authenticity. The book teaches you how to present your true self while aligning your experiences with the qualities of a future civil servant—leadership, empathy, and ethical judgment. Discover how to build the confidence and resilience required  to excel.</t>
        </is>
      </c>
      <c r="I241" s="11" t="inlineStr">
        <is>
          <t>His works are widely enjoyed by both legal professionals and a broader audience for their light-hearted take on courtroom life.</t>
        </is>
      </c>
      <c r="J241" s="24" t="n">
        <v>1</v>
      </c>
      <c r="K241" s="24" t="inlineStr">
        <is>
          <t>English</t>
        </is>
      </c>
      <c r="L241" s="24" t="inlineStr">
        <is>
          <t>HB</t>
        </is>
      </c>
      <c r="M241" s="24" t="inlineStr">
        <is>
          <t>India</t>
        </is>
      </c>
      <c r="N241" s="25" t="n">
        <v>46048</v>
      </c>
      <c r="O241" s="24" t="n">
        <v>510</v>
      </c>
      <c r="P241" s="46" t="n">
        <v>1295</v>
      </c>
      <c r="Q241" s="24" t="n">
        <v>24.8</v>
      </c>
      <c r="R241" s="24" t="n">
        <v>16.3</v>
      </c>
      <c r="S241" s="24" t="n">
        <v>2.5</v>
      </c>
      <c r="T241" s="24" t="n">
        <v>900</v>
      </c>
    </row>
    <row r="242" ht="20.1" customHeight="1">
      <c r="A242" s="6" t="n">
        <v>241</v>
      </c>
      <c r="B242" s="6" t="inlineStr">
        <is>
          <t>BGR</t>
        </is>
      </c>
      <c r="C242" s="6" t="inlineStr">
        <is>
          <t>OakBridge</t>
        </is>
      </c>
      <c r="D242" s="10" t="n">
        <v>9788199624597</v>
      </c>
      <c r="E242" s="4" t="inlineStr">
        <is>
          <t>B0GN7SMWPW</t>
        </is>
      </c>
      <c r="F242" s="6" t="inlineStr">
        <is>
          <t>Nirmalkumar Mohandoss</t>
        </is>
      </c>
      <c r="G242" s="6" t="inlineStr">
        <is>
          <t xml:space="preserve">The Union of States: Contemporary Political History of India’s Federal Challenges </t>
        </is>
      </c>
      <c r="H242" s="37" t="inlineStr">
        <is>
          <t>Is India’s federal promise quietly being reshaped?
The Union of States opens with a close and thoughtful examination of how India’s constitutional design is evolving in practice. With clarity and balance, this contemporary account traces the “march of law” as the relationship between the Union and its States encounters new tests. It revisits key episodes—from changes in elected governments in Arunachal Pradesh and Uttarakhand to administrative stalemates in Puducherry, the reorganisation of Jammu and Kashmir, and the expanding reach of national policies into areas long managed by the States. By bringing together legal developments and lived constitutional experiences, the book invites readers to reflect on how federal principles operate beyond theory. What does autonomy mean in a complex Union?
How are responsibilities shared, negotiated, and redefined? In raising these questions, the opening sets the stage for a deeper understanding of India’s federal framework and its continuing journey.</t>
        </is>
      </c>
      <c r="I242" s="11" t="inlineStr">
        <is>
          <t>Nirmalkumar Mohandoss is an advocate based in Chennai practising before the High Court of Judicature at Madras. He has authored articles and opinion pieces in numerous leading journals, magazines and dailies. He has also co-authored a chapter in the book titled, 'The Right To Sanitation In India', published by the Oxford University Press. He represents the Government of Puducherry, ESI Corporation and several other Public Sector Undertakings before the High Court of Judicature at Madras. In consonance with the views shared in the book, he has been relentlessly working towards having a High Court established for Puducherry. Beyond professional practice, the author engages in legal and constitutional discourse as a public intellectual in print, social and other media platforms, seeking to bridge the divide between legal understanding and public consciousness.</t>
        </is>
      </c>
      <c r="J242" s="6" t="n">
        <v>1</v>
      </c>
      <c r="K242" s="6" t="inlineStr">
        <is>
          <t>English</t>
        </is>
      </c>
      <c r="L242" s="6" t="inlineStr">
        <is>
          <t>PB</t>
        </is>
      </c>
      <c r="M242" s="6" t="inlineStr">
        <is>
          <t>India</t>
        </is>
      </c>
      <c r="N242" s="12" t="n">
        <v>46065</v>
      </c>
      <c r="O242" s="6" t="n">
        <v>238</v>
      </c>
      <c r="P242" s="45" t="n">
        <v>494</v>
      </c>
      <c r="Q242" s="6" t="n">
        <v>21.5</v>
      </c>
      <c r="R242" s="6" t="n">
        <v>14</v>
      </c>
      <c r="S242" s="6" t="n">
        <v>2.5</v>
      </c>
      <c r="T242" s="6" t="n"/>
    </row>
    <row r="243" ht="20.1" customHeight="1">
      <c r="A243" s="6" t="n">
        <v>242</v>
      </c>
      <c r="B243" s="6" t="inlineStr">
        <is>
          <t>Academic</t>
        </is>
      </c>
      <c r="C243" s="6" t="inlineStr">
        <is>
          <t>OakBridge</t>
        </is>
      </c>
      <c r="D243" s="10" t="n">
        <v>9788199624573</v>
      </c>
      <c r="E243" s="13" t="inlineStr">
        <is>
          <t>B0GPHTGGFL</t>
        </is>
      </c>
      <c r="F243" s="6" t="inlineStr">
        <is>
          <t>Harpreet Kaur</t>
        </is>
      </c>
      <c r="G243" s="14" t="inlineStr">
        <is>
          <t>Master Guide to NTA UGC NET | SET | JRF | PhD Paper 1 (Teaching and Research Aptitude)</t>
        </is>
      </c>
      <c r="H243" s="37" t="inlineStr">
        <is>
          <t xml:space="preserve">•	Comprehensive coverage of all the topics as per the new syllabus and the latest exam trends
•	All concepts explained in a simple and lucid language for easy understanding
•	Numerous tips as well as tricks to help solve tough questions in the shortest possible time 
•	4000+ Practice Questions at the end of each chapter along with coverage of Previous Years’ Question Papers (2004 – 2025)
•	Real-time practice through eleven free Mock Tests, which can be accessed on the portal Egzaminer using the scratch code provided in the inside cover
•	Strategy to crack NET exam in the first attempt 
•	Detailed step by step explanation for reasoning and data interpretation questions 
•	List of days of national and international importance </t>
        </is>
      </c>
      <c r="I243" s="6" t="inlineStr">
        <is>
          <t>Harpreet Kaur, former faculty at Guru Nanak Dev University, Amritsar and founding director of Egzaminer is a seasoned writer and has dedicated herself to simplifying the complexities of competitive exams, primarily NTA UGC-NET Paper-1. With a wealth of knowledge and a knack for clarity, she has perfectly mastered the art of guiding the aspiring individuals through the intricate maze of competitive exams. Through this book, get ready to embark on a transformative journey as she shares insights, strategies, and a roadmap to success in the world of competitive exams.</t>
        </is>
      </c>
      <c r="J243" s="6" t="n">
        <v>1</v>
      </c>
      <c r="K243" s="6" t="inlineStr">
        <is>
          <t>English</t>
        </is>
      </c>
      <c r="L243" s="6" t="inlineStr">
        <is>
          <t>PB</t>
        </is>
      </c>
      <c r="M243" s="6" t="inlineStr">
        <is>
          <t>India</t>
        </is>
      </c>
      <c r="N243" s="12" t="n">
        <v>46083</v>
      </c>
      <c r="O243" s="6" t="n">
        <v>794</v>
      </c>
      <c r="P243" s="45" t="n">
        <v>750</v>
      </c>
      <c r="Q243" s="6" t="inlineStr">
        <is>
          <t>8 INCH</t>
        </is>
      </c>
      <c r="R243" s="6" t="inlineStr">
        <is>
          <t>10 INCH</t>
        </is>
      </c>
      <c r="S243" s="6" t="n">
        <v>2.5</v>
      </c>
      <c r="T243" s="6" t="n">
        <v>1100</v>
      </c>
    </row>
    <row r="244" ht="20.1" customHeight="1">
      <c r="A244" s="6" t="n">
        <v>243</v>
      </c>
      <c r="B244" s="6" t="inlineStr">
        <is>
          <t>BGR</t>
        </is>
      </c>
      <c r="C244" s="6" t="inlineStr">
        <is>
          <t>OakBridge</t>
        </is>
      </c>
      <c r="D244" s="10" t="n">
        <v>9788199624511</v>
      </c>
      <c r="E244" s="13" t="inlineStr">
        <is>
          <t>B0GPGP2SJG</t>
        </is>
      </c>
      <c r="F244" s="6" t="inlineStr">
        <is>
          <t>Shishir Priyadarshi &amp; Dr Cchavi Vasisht</t>
        </is>
      </c>
      <c r="G244" s="6" t="inlineStr">
        <is>
          <t>Sashakt Nari Viksit Bharat – Women-Led Development @ 2047</t>
        </is>
      </c>
      <c r="H244" s="7" t="inlineStr">
        <is>
          <t>Sashakt Nari, Viksit Bharat: Women-Led Development @ 2047 offers a comprehensive and forward-looking exploration of how gender will shape India’s journey toward becoming a developed nation by the centenary of Independence. Organised thematically, the volume combines research-based scholarship with grounded analysis to examine the economic, political, social, and legal foundations of women-led development.
The book begins by analysing women’s role in the economy—valuing unpaid care work, addressing the paradox of educated yet underrepresented women in the workforce, tracing entrepreneurship pathways, examining inequities in global trade, and discussing land and asset ownership. It then moves to political and institutional participation, exploring the shift from representation to leadership across governance, law, defence services, diplomacy, and peacekeeping.
The discussion further engages with social and cultural factors shaping opportunity, including health and safety, climate-responsive policy, disaster management, and media narratives. It also evaluates constitutional principles, legislative frameworks, public health governance, gender-sensitive local models, transgender healthcare regulation, and mechanisms to address violence against women.
Drawing these themes together, the concluding reflections place women-led development within India’s long-term national vision, identifying pathways for inclusive growth and institutional reform—making this an essential reference for policymakers, scholars, practitioners, and informed citizens alike.</t>
        </is>
      </c>
      <c r="I244" s="42" t="inlineStr">
        <is>
          <t>Shishir Priyadarshi is the President of Chintan Research Foundation. He is a former WTO Director with around twenty-five years of experience in international trade, economic policy, and developmental issues. As a former IAS officer, he served in senior positions in India, both at the federal and subfederal levels, including in the office of the Cabinet Secretary. He has published extensively, held academic affiliations worldwide, and remains committed to sustainable and inclusive development. He has also written several articles &amp; opinion pieces on public policy issues, this edited book being an example of that.
Dr Cchavi Vasisht is an Associate Fellow at the Centre for Geopolitics and Strategic Studies. She has been awarded her PhD thesis titled “Women Entrepreneurs in Nepal” from the Centre for South Asian Studies, School of International Studies, Jawaharlal Nehru University. She has been awarded the UGC NET Senior Research Fellowship to pursue her research work. She has a keen interest in the geopolitics of South Asia, Southeast Asia, particularly Myanmar, and Gender related issues. She has also co-edited books, titled “Revisiting Myanmar” along with Brig Vinod Anand and “Perspectives from and Within India and its Neighbourhood” with Shishir Priyadarshi.</t>
        </is>
      </c>
      <c r="J244" s="6" t="n">
        <v>1</v>
      </c>
      <c r="K244" s="6" t="inlineStr">
        <is>
          <t>English</t>
        </is>
      </c>
      <c r="L244" s="6" t="inlineStr">
        <is>
          <t>HB</t>
        </is>
      </c>
      <c r="M244" s="6" t="inlineStr">
        <is>
          <t>India</t>
        </is>
      </c>
      <c r="N244" s="12" t="n">
        <v>46078</v>
      </c>
      <c r="O244" s="6" t="n">
        <v>404</v>
      </c>
      <c r="P244" s="45" t="n">
        <v>1095</v>
      </c>
      <c r="Q244" s="6" t="n">
        <v>24.8</v>
      </c>
      <c r="R244" s="6" t="n">
        <v>16.3</v>
      </c>
      <c r="S244" s="6" t="n">
        <v>2.5</v>
      </c>
      <c r="T244" s="6" t="n">
        <v>500</v>
      </c>
    </row>
    <row r="245" ht="20.1" customHeight="1">
      <c r="A245" s="6" t="n">
        <v>244</v>
      </c>
      <c r="B245" s="6" t="inlineStr">
        <is>
          <t>BGR</t>
        </is>
      </c>
      <c r="C245" s="6" t="inlineStr">
        <is>
          <t>OakBridge</t>
        </is>
      </c>
      <c r="D245" s="10" t="n">
        <v>9788199624566</v>
      </c>
      <c r="E245" s="13" t="inlineStr">
        <is>
          <t>B0GS1953NP</t>
        </is>
      </c>
      <c r="F245" s="14" t="inlineStr">
        <is>
          <t>Rupam Tandon</t>
        </is>
      </c>
      <c r="G245" s="37" t="inlineStr">
        <is>
          <t>In an era where financial returns are no longer the sole metric of success, stakeholder management has evolved from a “soft skill” into a strategic muscle and a leadership imperative.
Stakeholder Management : A Board and C-Suite Level Guide to Engagement, Governance and Sustainable Value Creation serves as a practical roadmap for C-suite executives, board members, and professionals to navigate this complex landscape. Moving beyond simple compliance checklists, this book is developed to be a deeply insightful guide to elevating stakeholder voices within corporate decision-making.
This actionable toolkit equips leaders with:
• Proven Frameworks: Master strategic navigation using models to prioritize engagement eﬀectively.
• Real-World Intelligence: Gain ringside insights through case studies of industry leaders.
• Conflict Resolution: Learn to transform friction into “forward motion” using structured escalation ladders.
• Future-Proofing: Prepare for emerging trends such as AI-driven engagement, Web3, and Stakeholder Impact Tokens (SITs).
Whether you are integrating stakeholder insights into ESG reporting or managing high-stakes reputational risks, this guide ensures that trust remains your North Star.</t>
        </is>
      </c>
      <c r="H245" s="7" t="inlineStr">
        <is>
          <t>In an era where financial returns are no longer the sole metric of success, stakeholder management has evolved from a “soft skill” into a strategic muscle and a leadership imperative.
Stakeholder Management : A Board and C-Suite Level Guide to Engagement, Governance and Sustainable Value Creation serves as a practical roadmap for C-suite executives, board members, and professionals to navigate this complex landscape. Moving beyond simple compliance checklists, this book is developed to be a deeply insightful guide to elevating stakeholder voices within corporate decision-making.</t>
        </is>
      </c>
      <c r="I245" s="6" t="inlineStr">
        <is>
          <t>Rupam Tandon is a seasoned financial services leader and Certified Independent Director with over 30 years of global experience across investment banking and strategic advisory. A recognized governance expert, she specializes in bridging established corporate best practices with the agility needs of startups. Rupam champions ethicalRupam Tandon is a seasoned financial services leader and Certified Independent Director with over 30 years of global experience across investment banking and strategic advisory. A recognized governance expert, she specializes in bridging established corporate best practices with the agility needs of startups. Rupam champions ethical leadership and sustainable value creation, shaping governance discourse for boards and leadership teams worldwide.</t>
        </is>
      </c>
      <c r="J245" s="6" t="n">
        <v>1</v>
      </c>
      <c r="K245" s="6" t="inlineStr">
        <is>
          <t>English</t>
        </is>
      </c>
      <c r="L245" s="6" t="inlineStr">
        <is>
          <t>PB</t>
        </is>
      </c>
      <c r="M245" s="6" t="inlineStr">
        <is>
          <t>India</t>
        </is>
      </c>
      <c r="N245" s="15" t="n">
        <v>46082</v>
      </c>
      <c r="O245" s="6" t="n">
        <v>130</v>
      </c>
      <c r="P245" s="45" t="n">
        <v>350</v>
      </c>
      <c r="Q245" s="6" t="n">
        <v>21.5</v>
      </c>
      <c r="R245" s="6" t="n">
        <v>14</v>
      </c>
      <c r="S245" s="6" t="n">
        <v>2.5</v>
      </c>
      <c r="T245" s="6" t="n">
        <v>150</v>
      </c>
    </row>
    <row r="246" ht="20.1" customHeight="1">
      <c r="A246" s="6" t="n">
        <v>245</v>
      </c>
      <c r="B246" s="6" t="inlineStr">
        <is>
          <t>Law</t>
        </is>
      </c>
      <c r="C246" s="6" t="inlineStr">
        <is>
          <t>OakBridge</t>
        </is>
      </c>
      <c r="D246" s="10" t="n">
        <v>9789389176803</v>
      </c>
      <c r="E246" s="13" t="n">
        <v>9389176808</v>
      </c>
      <c r="F246" s="14" t="inlineStr">
        <is>
          <t>Dr K K Khandelwal &amp; Apoorva K Singh</t>
        </is>
      </c>
      <c r="G246" s="14" t="inlineStr">
        <is>
          <t>A Treatise and Commentary on Digital Personal Data Protection Act, 2023</t>
        </is>
      </c>
      <c r="H246" s="40" t="inlineStr">
        <is>
          <t>A Treatise and Commentary on Digital Personal Data Protection Act, 2023 is a definitive guide to India’s transformative privacy law, balancing individual rights with technological and economic progress.
The authors meticulously dissect each section, providing detailed commentary and critical appraisal of the legal framework and operational mechanics. The treatise offers comprehensive analysis of legislative milestones and data privacy evolution, weaving in comparative insights from international regimes like GDPR. It presents balanced critique, examining the Act’s strengths while highlighting challenges in cross-border transfers and government exemptions, alongside practical compliance guidelines.
Essential for data protection officers, legal practitioners, adjudication officers, policymakers, academics, and data fiduciaries, this book equips readers with necessary knowledge and tools for implementing the DPDP Act effectively.</t>
        </is>
      </c>
      <c r="I246" s="41" t="inlineStr">
        <is>
          <t>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managements.
Apoorva Kumar Singh, a 1991-batch officer of the Indian Administrative Service, is presently serving as the Additional Chief Secretary to the Government of Haryana, Energy Department. He is currently also entrusted with the additional charge of the Town &amp; Country Planning and Urban Estates Department. Over the course of his career, Mr Singh has held several key positions, including Additional Chief Secretary of the Mines &amp; Geology Department and
the Irrigation &amp; Water Resources Department, where he demonstrated outstanding leadership and dedication to public service. An alumnus of IIT Delhi with a B.Tech. degree, he further pursued an M.S. in the United States. An LL.B. from Panjab University, Chandigarh, he also did LL.M. (Pro) from NLU, New Delhi. He is also an author, having earlier penned “A Commentary and Digest on the Air (Prevention &amp; Control of Pollution) Act, 1981”.</t>
        </is>
      </c>
      <c r="J246" s="6" t="n">
        <v>1</v>
      </c>
      <c r="K246" s="6" t="inlineStr">
        <is>
          <t>English</t>
        </is>
      </c>
      <c r="L246" s="6" t="inlineStr">
        <is>
          <t>HB</t>
        </is>
      </c>
      <c r="M246" s="6" t="inlineStr">
        <is>
          <t>India</t>
        </is>
      </c>
      <c r="N246" s="15" t="n">
        <v>46082</v>
      </c>
      <c r="O246" s="6" t="n">
        <v>702</v>
      </c>
      <c r="P246" s="45" t="n">
        <v>1595</v>
      </c>
      <c r="Q246" s="6" t="n">
        <v>24.8</v>
      </c>
      <c r="R246" s="6" t="n">
        <v>16.3</v>
      </c>
      <c r="S246" s="6" t="n">
        <v>2.5</v>
      </c>
      <c r="T246" s="6" t="n">
        <v>900</v>
      </c>
    </row>
    <row r="247" ht="20.1" customHeight="1">
      <c r="A247" s="51" t="n">
        <v>246</v>
      </c>
      <c r="B247" s="51" t="inlineStr">
        <is>
          <t>Law</t>
        </is>
      </c>
      <c r="C247" s="51" t="inlineStr">
        <is>
          <t>OakBridge</t>
        </is>
      </c>
      <c r="D247" s="52" t="n">
        <v>9788199888142</v>
      </c>
      <c r="E247" s="53" t="inlineStr">
        <is>
          <t>B0GVDX6RYQ</t>
        </is>
      </c>
      <c r="F247" s="54" t="inlineStr">
        <is>
          <t xml:space="preserve">Dr Prabhat Kumar &amp; Dr K K Khandelwal </t>
        </is>
      </c>
      <c r="G247" s="54" t="inlineStr">
        <is>
          <t>Insights into the Protection of Children from Sexual Offences Act, 2012</t>
        </is>
      </c>
      <c r="H247" s="38" t="inlineStr">
        <is>
          <t>The Protection of Children from Sexual Offences Act, 2012 (POCSO) stands as a landmark legislative affirmation of this duty, recognizing children as rights-holders entitled to safety, dignity, and a fear-free childhood. In Insights into the Protection of Children from Sexual Offences Act, 2012, the authors provide a structured and systematic guide designed to bridge the gap between bare legal provisions and the everyday realities of the criminal justice system.
This comprehensive volume offers:
• A section-wise, reader-friendly presentation of the POCSO framework.
• Practical guidance for stakeholders, including police officers, medical professionals, prosecutors, and judges, to ensure child-friendly procedures.
• An emphasis on minimizing trauma and preventing re-victimization through sensitive investigation and trial management.
• Insights into the constitutional context and judicial interpretations that shape the application of the Act.
Whether you are a legal practitioner, a student of law, or a professional entrusted with
child welfare, this book serves as an indispensable resource for translating legal intent
into consistent, humane, and effective practice.</t>
        </is>
      </c>
      <c r="I247" s="39" t="inlineStr">
        <is>
          <t>Dr Prabhat Kumar is a distinguished alumnus of S N Medical College, Agra, who topped the UPSC Civil Services Examination in 1985. He served in several key administrative roles across Uttar Pradesh, including District Magistrate postings in Fatehpur, Muzaffarnagar, and Kanpur, and as Vice Chairman of development authorities in Moradabad, Lucknow, and the Mussoorie Dehradun Development Authority. Notable contributions include the Rispana Bridge andVivekanand Chowk globe in Dehradun. Renowned for integrity and commitment to public service, he retired in April 2019.
Dr K K Khandelwal, is a former Indian civil servant, engineer, legal expert, author, and academician. He currently serves as the Chief National Commissioner of the Bharat Scouts and Guides in New Delhi. Prior to this, he held the position of Chairman of the Haryana Real Estate Regulatory Authority in Gurugram. Dr K K Khandelwal's contributions span across his roles in civil service, academia, and legal literature. His work, particularly in the field of real estate regulation and scout leadership, alongside his academic contributions, has been widely recognized. His interdisciplinary research and publications reflect his broad range of academic pursuits and professional managements.</t>
        </is>
      </c>
      <c r="J247" s="51" t="n">
        <v>1</v>
      </c>
      <c r="K247" s="51" t="inlineStr">
        <is>
          <t>English</t>
        </is>
      </c>
      <c r="L247" s="51" t="inlineStr">
        <is>
          <t>HB</t>
        </is>
      </c>
      <c r="M247" s="51" t="inlineStr">
        <is>
          <t>India</t>
        </is>
      </c>
      <c r="N247" s="55" t="n">
        <v>46082</v>
      </c>
      <c r="O247" s="51" t="n">
        <v>734</v>
      </c>
      <c r="P247" s="56" t="n">
        <v>1845</v>
      </c>
      <c r="Q247" s="51" t="n">
        <v>24.8</v>
      </c>
      <c r="R247" s="51" t="n">
        <v>16.3</v>
      </c>
      <c r="S247" s="51" t="n">
        <v>2.5</v>
      </c>
      <c r="T247" s="51" t="n">
        <v>1050</v>
      </c>
    </row>
    <row r="248" ht="20.1" customHeight="1">
      <c r="A248" s="6" t="n">
        <v>247</v>
      </c>
      <c r="B248" s="6" t="inlineStr">
        <is>
          <t>Law</t>
        </is>
      </c>
      <c r="C248" s="6" t="inlineStr">
        <is>
          <t>OakBridge</t>
        </is>
      </c>
      <c r="D248" s="10" t="n">
        <v>9788198874023</v>
      </c>
      <c r="E248" s="13" t="inlineStr">
        <is>
          <t>B0GVHQ91DZ</t>
        </is>
      </c>
      <c r="F248" s="6" t="inlineStr">
        <is>
          <t>Prof (Dr) Manish Singh and Dr Vikas Bhati</t>
        </is>
      </c>
      <c r="G248" s="6" t="inlineStr">
        <is>
          <t>ARTIFICIAL INTELLIGENCE AND INTELLECTUAL PROPERTY RIGHTS Navigating Emerging Challenges</t>
        </is>
      </c>
      <c r="H248" s="57" t="inlineStr">
        <is>
          <t>As Artificial Intelligence continues to blur the boundaries between human imagination and machine precision, Artificial Intelligence and Intellectual Property Rights: Navigating Emerging Challenges brings together a rich collection of voices to explore one of the most fascinating legal questions of our time — who truly owns creativity in the age of algorithms?
Written by both emerging and established scholars from across India, this volume examines how AI is transforming the traditional landscapes of copyright, patents, and trademarks. From questions of authorship in machine-made art and the rise of deepfakes to the legal challenges of large language models and AI inventorship, the book offers fresh and timely reflections on how law, technology, and human creativity can coexist in an increasingly digital world.
Accessible yet deeply researched, this collection is a must-read for students, practitioners, policymakers, and anyone curious about how law will evolve in a world where machines create, learn, and innovate alongside humans.</t>
        </is>
      </c>
      <c r="I248" s="58" t="inlineStr">
        <is>
          <t>Prof (Dr) Manish Singh is Professor and Head, Department of Legal Studies, and Chair Professor at the DPIIT–IPR Chair, Dr Ram Manohar Lohiya National Law University, Lucknow. A registered Patent Agent and Facilitator with the Indian Patent Office, he specializes in Intellectual Property Law, Patent Law, Corporate Law, Competition Law, and International Trade Law. He has significantly contributed to teaching, research, and institutional development, including establishing the University’s IPR Chair and Incubation Centre. Widely published and frequently invited to deliver lectures at premier institutes, Prof Singh has a strong orientation towards the future of IP and brings valuable insights on navigating emerging challenges in the field of Intellectual Property Rights.
Dr Vikas Bhati is an Associate Professor of Law at Dr Ram Manohar Lohiya National Law University, Lucknow, specializing in Intellectual Property Rights, AI Law and Policy, Digital Human Rights, and Space Law. He serves as Director of IP-PRECISE (Intellectual Property–Policy Research and Ecosystem Centre for Innovation, Science and Entrepreneurship) and the RMLNLU Incubation Foundation. Holding a PhD. in Biotechnology Laws from RMLNLU, an LLM from NLIU Bhopal, and a BA LLB (Hons) from the University of Lucknow, he has also worked as a Research Officer at IIPA, New Delhi, and the University of Delhi. His expertise spans IP management, dispute resolution, and the intersection of artificial intelligence and intellectual property law.</t>
        </is>
      </c>
      <c r="J248" s="6" t="n">
        <v>1</v>
      </c>
      <c r="K248" s="6" t="inlineStr">
        <is>
          <t>English</t>
        </is>
      </c>
      <c r="L248" s="6" t="inlineStr">
        <is>
          <t>PB</t>
        </is>
      </c>
      <c r="M248" s="6" t="inlineStr">
        <is>
          <t>India</t>
        </is>
      </c>
      <c r="N248" s="15" t="n">
        <v>46082</v>
      </c>
      <c r="O248" s="6" t="n">
        <v>244</v>
      </c>
      <c r="P248" s="45" t="n">
        <v>695</v>
      </c>
      <c r="Q248" s="6" t="n">
        <v>24</v>
      </c>
      <c r="R248" s="6" t="n">
        <v>16</v>
      </c>
      <c r="S248" s="6" t="n">
        <v>2.5</v>
      </c>
      <c r="T248" s="6" t="n">
        <v>260</v>
      </c>
    </row>
    <row r="249" ht="29.25" customHeight="1">
      <c r="A249" s="9" t="n">
        <v>248</v>
      </c>
      <c r="B249" s="6" t="inlineStr">
        <is>
          <t>Law</t>
        </is>
      </c>
      <c r="C249" s="6" t="inlineStr">
        <is>
          <t>OakBridge</t>
        </is>
      </c>
      <c r="D249" s="48" t="n">
        <v>9788199624559</v>
      </c>
      <c r="E249" s="9" t="n"/>
      <c r="F249" s="9" t="inlineStr">
        <is>
          <t>Sudhir Mishra</t>
        </is>
      </c>
      <c r="G249" s="9" t="inlineStr">
        <is>
          <t>Climate Justice</t>
        </is>
      </c>
      <c r="H249" s="59" t="inlineStr">
        <is>
          <t>Climate Justice: 75 Years of Supreme Court —75 Judgments that Built Climate Jurisprudence in India is more than a legal compendium; it is a journey through seventy-five carefully selected judgments that reveal the evolution of India’s environmental consciousness.</t>
        </is>
      </c>
      <c r="I249" s="60" t="inlineStr">
        <is>
          <t>Mr. Sudhir Mishra is a leading disputes and climate change lawyer and a Door Tenant at No.5 Barristers’ Chambers, UK.</t>
        </is>
      </c>
      <c r="J249" s="9" t="n">
        <v>1</v>
      </c>
      <c r="K249" s="6" t="inlineStr">
        <is>
          <t>English</t>
        </is>
      </c>
      <c r="L249" s="9" t="inlineStr">
        <is>
          <t>PB</t>
        </is>
      </c>
      <c r="M249" s="6" t="inlineStr">
        <is>
          <t>India</t>
        </is>
      </c>
      <c r="N249" s="49" t="n">
        <v>46143</v>
      </c>
      <c r="O249" s="9" t="n">
        <v>231</v>
      </c>
      <c r="P249" s="50" t="n">
        <v>595</v>
      </c>
      <c r="Q249" s="6" t="n">
        <v>24</v>
      </c>
      <c r="R249" s="6" t="n">
        <v>16</v>
      </c>
      <c r="S249" s="6" t="n">
        <v>2.5</v>
      </c>
      <c r="T249" s="9" t="n">
        <v>400</v>
      </c>
    </row>
    <row r="250" ht="20.1" customHeight="1">
      <c r="A250" s="9" t="n">
        <v>249</v>
      </c>
      <c r="B250" s="6" t="inlineStr">
        <is>
          <t>Law</t>
        </is>
      </c>
      <c r="C250" s="6" t="inlineStr">
        <is>
          <t>OakBridge</t>
        </is>
      </c>
      <c r="D250" s="48" t="n">
        <v>9788199888173</v>
      </c>
      <c r="E250" s="9" t="n"/>
      <c r="F250" s="9" t="inlineStr">
        <is>
          <t>Dr Sumit Pahwa</t>
        </is>
      </c>
      <c r="G250" s="9" t="inlineStr">
        <is>
          <t>Corporate Law Referencer 12/e</t>
        </is>
      </c>
      <c r="H250" s="59" t="inlineStr">
        <is>
          <t>Corporate Law Referencer presents a 360o view of the Companies Act, 2013 and Limited Liability Partnership Act, 2008 with section-wise arrangement of all Circulars, Orders, Rules &amp; Notifications including Procedures, FAQs, Resolutions, Adjudication Orders and Judicial Precedents.</t>
        </is>
      </c>
      <c r="I250" s="60" t="inlineStr">
        <is>
          <t>eMinds Legal is a boutique Corporate Law Firm based in Gurgaon, India, specializing in Corporate Secretarial, Corporate Legal, Compliance, Accounting &amp; Payroll.</t>
        </is>
      </c>
      <c r="J250" s="9" t="n">
        <v>1</v>
      </c>
      <c r="K250" s="6" t="inlineStr">
        <is>
          <t>English</t>
        </is>
      </c>
      <c r="L250" s="9" t="inlineStr">
        <is>
          <t>PB</t>
        </is>
      </c>
      <c r="M250" s="6" t="inlineStr">
        <is>
          <t>India</t>
        </is>
      </c>
      <c r="N250" s="49" t="n">
        <v>46143</v>
      </c>
      <c r="O250" s="9" t="n">
        <v>2738</v>
      </c>
      <c r="P250" s="50" t="n">
        <v>4800</v>
      </c>
      <c r="Q250" s="6" t="n">
        <v>21.5</v>
      </c>
      <c r="R250" s="6" t="n">
        <v>14</v>
      </c>
      <c r="S250" s="6" t="n">
        <v>2.5</v>
      </c>
      <c r="T250" s="9" t="n">
        <v>3200</v>
      </c>
    </row>
    <row r="251" ht="22.5" customHeight="1">
      <c r="A251" s="9" t="n">
        <v>251</v>
      </c>
      <c r="B251" s="4" t="inlineStr">
        <is>
          <t>Academic</t>
        </is>
      </c>
      <c r="C251" s="6" t="inlineStr">
        <is>
          <t>OakBridge</t>
        </is>
      </c>
      <c r="D251" s="48" t="n">
        <v>9788199888159</v>
      </c>
      <c r="E251" s="9" t="n"/>
      <c r="F251" s="9" t="inlineStr">
        <is>
          <t>Vishrut Jain</t>
        </is>
      </c>
      <c r="G251" s="9" t="inlineStr">
        <is>
          <t>Legal Aptitude &amp; Reasoning LA/LR  2/e (2026-27)</t>
        </is>
      </c>
      <c r="H251" s="59" t="inlineStr">
        <is>
          <t>Legal Aptitude &amp; Reasoning (LA/LR) for CLAT, AILET, SLAT and Other Law Entrance Tests is a comprehensive book on legal reasoning designed for law entrance exam preparation.</t>
        </is>
      </c>
      <c r="I251" s="61" t="inlineStr">
        <is>
          <t xml:space="preserve">Vishrut Jain is a graduate of the West Bengal National University of Juridical Sciences (NUJS), Kolkata. </t>
        </is>
      </c>
      <c r="J251" s="9" t="n">
        <v>2</v>
      </c>
      <c r="K251" s="6" t="inlineStr">
        <is>
          <t>English</t>
        </is>
      </c>
      <c r="L251" s="9" t="inlineStr">
        <is>
          <t>PB</t>
        </is>
      </c>
      <c r="M251" s="6" t="inlineStr">
        <is>
          <t>India</t>
        </is>
      </c>
      <c r="N251" s="49" t="n">
        <v>46204</v>
      </c>
      <c r="O251" s="9" t="n">
        <v>572</v>
      </c>
      <c r="P251" s="50" t="n">
        <v>795</v>
      </c>
      <c r="Q251" s="6" t="n">
        <v>24</v>
      </c>
      <c r="R251" s="6" t="n">
        <v>18.5</v>
      </c>
      <c r="S251" s="6" t="n">
        <v>2.5</v>
      </c>
      <c r="T251" s="9" t="n">
        <v>650</v>
      </c>
    </row>
    <row r="252" ht="23.25" customHeight="1">
      <c r="A252" s="9" t="n">
        <v>252</v>
      </c>
      <c r="B252" s="9" t="inlineStr">
        <is>
          <t>Law</t>
        </is>
      </c>
      <c r="C252" s="6" t="inlineStr">
        <is>
          <t>OakBridge</t>
        </is>
      </c>
      <c r="D252" s="48" t="n">
        <v>9788199888111</v>
      </c>
      <c r="E252" s="9" t="n"/>
      <c r="F252" s="9" t="inlineStr">
        <is>
          <t>Pramod Rao</t>
        </is>
      </c>
      <c r="G252" s="9" t="inlineStr">
        <is>
          <t>In-House Matters</t>
        </is>
      </c>
      <c r="H252" s="59" t="inlineStr">
        <is>
          <t>The in-house counsel, once a go-between, now sits at the table where decisions are made: advising boards, shaping strategy, steering companies through complexity and change.</t>
        </is>
      </c>
      <c r="I252" s="62" t="inlineStr">
        <is>
          <t>Pramod Rao is a former Executive Director at the Securities and Exchange Board of India (SEBI), and former Board Member of IFSCA, NFRA, and IICA.</t>
        </is>
      </c>
      <c r="J252" s="9" t="n">
        <v>1</v>
      </c>
      <c r="K252" s="6" t="inlineStr">
        <is>
          <t>English</t>
        </is>
      </c>
      <c r="L252" s="9" t="inlineStr">
        <is>
          <t>HB</t>
        </is>
      </c>
      <c r="M252" s="6" t="inlineStr">
        <is>
          <t>India</t>
        </is>
      </c>
      <c r="N252" s="49" t="n">
        <v>46204</v>
      </c>
      <c r="O252" s="9" t="n">
        <v>282</v>
      </c>
      <c r="P252" s="50" t="n">
        <v>795</v>
      </c>
      <c r="Q252" s="6" t="n">
        <v>24</v>
      </c>
      <c r="R252" s="6" t="n">
        <v>16</v>
      </c>
      <c r="S252" s="6" t="n">
        <v>2.5</v>
      </c>
      <c r="T252" s="9" t="n">
        <v>600</v>
      </c>
    </row>
    <row r="253" ht="20.1" customHeight="1">
      <c r="A253" s="9" t="n">
        <v>253</v>
      </c>
      <c r="B253" s="9" t="inlineStr">
        <is>
          <t>BGR</t>
        </is>
      </c>
      <c r="C253" s="9" t="inlineStr">
        <is>
          <t>BGR</t>
        </is>
      </c>
      <c r="D253" s="48" t="inlineStr">
        <is>
          <t>9788199624542</t>
        </is>
      </c>
      <c r="E253" s="9" t="n"/>
      <c r="F253" s="9" t="inlineStr">
        <is>
          <t>Dr Manoj Kumar</t>
        </is>
      </c>
      <c r="G253" s="9" t="inlineStr">
        <is>
          <t>Sacred Tiger Tales: From Vedic Hymns to Tryst with Stripes</t>
        </is>
      </c>
      <c r="H253" s="9" t="n"/>
      <c r="I253" s="61" t="n"/>
      <c r="J253" s="9" t="n"/>
      <c r="K253" s="9" t="inlineStr">
        <is>
          <t>English</t>
        </is>
      </c>
      <c r="L253" s="9" t="inlineStr">
        <is>
          <t>Hardback</t>
        </is>
      </c>
      <c r="M253" s="9" t="inlineStr">
        <is>
          <t>India</t>
        </is>
      </c>
      <c r="N253" s="63" t="n">
        <v>46253</v>
      </c>
      <c r="O253" s="9" t="n">
        <v>248</v>
      </c>
      <c r="P253" s="50" t="n"/>
      <c r="Q253" s="9" t="n"/>
      <c r="R253" s="9" t="n"/>
      <c r="S253" s="9" t="n"/>
      <c r="T253" s="9" t="n"/>
    </row>
    <row r="254" ht="20.1" customHeight="1">
      <c r="A254" s="9" t="n"/>
      <c r="B254" s="9" t="n"/>
      <c r="C254" s="9" t="n"/>
      <c r="D254" s="48" t="n"/>
      <c r="E254" s="9" t="n"/>
      <c r="F254" s="9" t="n"/>
      <c r="G254" s="9" t="n"/>
      <c r="H254" s="9" t="n"/>
      <c r="I254" s="9" t="n"/>
      <c r="J254" s="9" t="n"/>
      <c r="K254" s="9" t="n"/>
      <c r="L254" s="9" t="n"/>
      <c r="M254" s="9" t="n"/>
      <c r="N254" s="9" t="n"/>
      <c r="O254" s="9" t="n"/>
      <c r="P254" s="50" t="n"/>
      <c r="Q254" s="9" t="n"/>
      <c r="R254" s="9" t="n"/>
      <c r="S254" s="9" t="n"/>
      <c r="T254" s="9" t="n"/>
    </row>
    <row r="255" ht="20.1" customHeight="1">
      <c r="A255" s="9" t="n"/>
      <c r="B255" s="9" t="n"/>
      <c r="C255" s="9" t="n"/>
      <c r="D255" s="48" t="n"/>
      <c r="E255" s="9" t="n"/>
      <c r="F255" s="9" t="n"/>
      <c r="G255" s="9" t="n"/>
      <c r="H255" s="9" t="n"/>
      <c r="I255" s="9" t="n"/>
      <c r="J255" s="9" t="n"/>
      <c r="K255" s="9" t="n"/>
      <c r="L255" s="9" t="n"/>
      <c r="M255" s="9" t="n"/>
      <c r="N255" s="9" t="n"/>
      <c r="O255" s="9" t="n"/>
      <c r="P255" s="50" t="n"/>
      <c r="Q255" s="9" t="n"/>
      <c r="R255" s="9" t="n"/>
      <c r="S255" s="9" t="n"/>
      <c r="T255" s="9" t="n"/>
    </row>
  </sheetData>
  <autoFilter ref="A1:AF252">
    <sortState ref="A2:AF227">
      <sortCondition ref="A1"/>
    </sortState>
  </autoFilter>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Sachin</dc:creator>
  <dcterms:created xmlns:dcterms="http://purl.org/dc/terms/" xmlns:xsi="http://www.w3.org/2001/XMLSchema-instance" xsi:type="dcterms:W3CDTF">2023-03-30T10:24:43Z</dcterms:created>
  <dcterms:modified xmlns:dcterms="http://purl.org/dc/terms/" xmlns:xsi="http://www.w3.org/2001/XMLSchema-instance" xsi:type="dcterms:W3CDTF">2026-08-24T07:08:24Z</dcterms:modified>
  <cp:lastModifiedBy>RENU RAWAT</cp:lastModifiedBy>
</cp:coreProperties>
</file>